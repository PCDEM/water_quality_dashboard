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water_quality_dashboard/Data/"/>
    </mc:Choice>
  </mc:AlternateContent>
  <xr:revisionPtr revIDLastSave="2" documentId="13_ncr:1_{9563F086-26A6-495F-9488-99FE540E481C}" xr6:coauthVersionLast="47" xr6:coauthVersionMax="47" xr10:uidLastSave="{D35C3988-FC96-451A-8141-20530C7BF806}"/>
  <bookViews>
    <workbookView xWindow="-28920" yWindow="-120" windowWidth="29040" windowHeight="15720" xr2:uid="{676D786A-8E3B-4CB6-BA57-DE14AACFEE3D}"/>
  </bookViews>
  <sheets>
    <sheet name="SCI Scores" sheetId="1" r:id="rId1"/>
    <sheet name="Taxa" sheetId="2" r:id="rId2"/>
    <sheet name="Metr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6" i="1" l="1"/>
  <c r="J172" i="1"/>
  <c r="J165" i="1"/>
  <c r="J163" i="1"/>
  <c r="J161" i="1"/>
  <c r="J159" i="1"/>
  <c r="J155" i="1"/>
  <c r="J143" i="1"/>
  <c r="J134" i="1"/>
  <c r="J132" i="1"/>
  <c r="J125" i="1"/>
  <c r="J123" i="1"/>
  <c r="J121" i="1"/>
  <c r="J119" i="1"/>
  <c r="J112" i="1"/>
  <c r="J110" i="1"/>
  <c r="J102" i="1"/>
  <c r="J93" i="1"/>
  <c r="J89" i="1"/>
  <c r="J85" i="1"/>
  <c r="J80" i="1"/>
  <c r="J70" i="1"/>
  <c r="J68" i="1"/>
  <c r="J60" i="1"/>
  <c r="J58" i="1"/>
  <c r="J42" i="1"/>
  <c r="J34" i="1"/>
  <c r="J29" i="1"/>
  <c r="J27" i="1"/>
  <c r="J25" i="1"/>
  <c r="J22" i="1"/>
  <c r="J18" i="1"/>
  <c r="J16" i="1"/>
  <c r="J13" i="1"/>
  <c r="J2" i="1"/>
  <c r="B484" i="3"/>
  <c r="B485" i="3"/>
  <c r="B486" i="3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483" i="3"/>
  <c r="B463" i="3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1267" i="2"/>
  <c r="B443" i="3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24" i="3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23" i="3"/>
  <c r="B403" i="3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1144" i="2"/>
  <c r="B384" i="3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383" i="3"/>
  <c r="B1084" i="2"/>
  <c r="B363" i="3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44" i="3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1007" i="2"/>
  <c r="B1008" i="2" s="1"/>
  <c r="B1009" i="2" s="1"/>
  <c r="B343" i="3"/>
  <c r="B323" i="3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04" i="3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03" i="3"/>
  <c r="G286" i="3"/>
  <c r="G287" i="3"/>
  <c r="G288" i="3"/>
  <c r="G289" i="3"/>
  <c r="G295" i="3"/>
  <c r="G298" i="3"/>
  <c r="G299" i="3"/>
  <c r="G300" i="3"/>
  <c r="G301" i="3"/>
  <c r="F301" i="3"/>
  <c r="F300" i="3"/>
  <c r="F299" i="3"/>
  <c r="F298" i="3"/>
  <c r="F296" i="3"/>
  <c r="G296" i="3" s="1"/>
  <c r="F297" i="3"/>
  <c r="G297" i="3" s="1"/>
  <c r="F295" i="3"/>
  <c r="F294" i="3"/>
  <c r="G294" i="3" s="1"/>
  <c r="F293" i="3"/>
  <c r="G293" i="3" s="1"/>
  <c r="F292" i="3"/>
  <c r="G292" i="3" s="1"/>
  <c r="F291" i="3"/>
  <c r="G291" i="3" s="1"/>
  <c r="F290" i="3"/>
  <c r="G290" i="3" s="1"/>
  <c r="F289" i="3"/>
  <c r="F288" i="3"/>
  <c r="F286" i="3"/>
  <c r="F287" i="3"/>
  <c r="F285" i="3"/>
  <c r="G285" i="3" s="1"/>
  <c r="F284" i="3"/>
  <c r="G284" i="3" s="1"/>
  <c r="F283" i="3"/>
  <c r="G283" i="3" s="1"/>
  <c r="F282" i="3"/>
  <c r="G282" i="3" s="1"/>
  <c r="B858" i="2"/>
  <c r="B859" i="2" s="1"/>
  <c r="B860" i="2" s="1"/>
  <c r="B861" i="2" s="1"/>
  <c r="B862" i="2" s="1"/>
  <c r="B284" i="3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283" i="3"/>
  <c r="G263" i="3"/>
  <c r="G265" i="3"/>
  <c r="G269" i="3"/>
  <c r="G270" i="3"/>
  <c r="G272" i="3"/>
  <c r="G275" i="3"/>
  <c r="G277" i="3"/>
  <c r="G262" i="3"/>
  <c r="F281" i="3"/>
  <c r="F280" i="3"/>
  <c r="G280" i="3" s="1"/>
  <c r="F279" i="3"/>
  <c r="F278" i="3"/>
  <c r="F277" i="3"/>
  <c r="F276" i="3"/>
  <c r="G276" i="3" s="1"/>
  <c r="F275" i="3"/>
  <c r="F274" i="3"/>
  <c r="G274" i="3" s="1"/>
  <c r="F273" i="3"/>
  <c r="G273" i="3" s="1"/>
  <c r="F272" i="3"/>
  <c r="F271" i="3"/>
  <c r="G271" i="3" s="1"/>
  <c r="F270" i="3"/>
  <c r="F269" i="3"/>
  <c r="F268" i="3"/>
  <c r="G268" i="3" s="1"/>
  <c r="F266" i="3"/>
  <c r="G266" i="3" s="1"/>
  <c r="F267" i="3"/>
  <c r="G267" i="3" s="1"/>
  <c r="F265" i="3"/>
  <c r="F264" i="3"/>
  <c r="G264" i="3" s="1"/>
  <c r="F263" i="3"/>
  <c r="F262" i="3"/>
  <c r="F234" i="3"/>
  <c r="G234" i="3" s="1"/>
  <c r="B263" i="3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G243" i="3"/>
  <c r="G252" i="3"/>
  <c r="G253" i="3"/>
  <c r="G254" i="3"/>
  <c r="G255" i="3"/>
  <c r="G257" i="3"/>
  <c r="G261" i="3"/>
  <c r="G242" i="3"/>
  <c r="F261" i="3"/>
  <c r="F260" i="3"/>
  <c r="G260" i="3" s="1"/>
  <c r="F259" i="3"/>
  <c r="G259" i="3" s="1"/>
  <c r="F258" i="3"/>
  <c r="G258" i="3" s="1"/>
  <c r="F256" i="3"/>
  <c r="G256" i="3" s="1"/>
  <c r="F257" i="3"/>
  <c r="F255" i="3"/>
  <c r="F254" i="3"/>
  <c r="F253" i="3"/>
  <c r="F252" i="3"/>
  <c r="F251" i="3"/>
  <c r="G251" i="3" s="1"/>
  <c r="F250" i="3"/>
  <c r="G250" i="3" s="1"/>
  <c r="F249" i="3"/>
  <c r="G249" i="3" s="1"/>
  <c r="F248" i="3"/>
  <c r="G248" i="3" s="1"/>
  <c r="F246" i="3"/>
  <c r="G246" i="3" s="1"/>
  <c r="F247" i="3"/>
  <c r="G247" i="3" s="1"/>
  <c r="F245" i="3"/>
  <c r="G245" i="3" s="1"/>
  <c r="F244" i="3"/>
  <c r="G244" i="3" s="1"/>
  <c r="F243" i="3"/>
  <c r="F242" i="3"/>
  <c r="B244" i="3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43" i="3"/>
  <c r="B779" i="2"/>
  <c r="B780" i="2" s="1"/>
  <c r="B781" i="2" s="1"/>
  <c r="B782" i="2" s="1"/>
  <c r="B783" i="2" s="1"/>
  <c r="B784" i="2" s="1"/>
  <c r="G223" i="3"/>
  <c r="G224" i="3"/>
  <c r="G225" i="3"/>
  <c r="G226" i="3"/>
  <c r="G227" i="3"/>
  <c r="G235" i="3"/>
  <c r="G237" i="3"/>
  <c r="G238" i="3"/>
  <c r="G239" i="3"/>
  <c r="G241" i="3"/>
  <c r="F241" i="3"/>
  <c r="F231" i="3"/>
  <c r="G231" i="3" s="1"/>
  <c r="F240" i="3"/>
  <c r="G240" i="3" s="1"/>
  <c r="F230" i="3"/>
  <c r="G230" i="3" s="1"/>
  <c r="F239" i="3"/>
  <c r="F229" i="3"/>
  <c r="G229" i="3" s="1"/>
  <c r="F238" i="3"/>
  <c r="F228" i="3"/>
  <c r="G228" i="3" s="1"/>
  <c r="F236" i="3"/>
  <c r="G236" i="3" s="1"/>
  <c r="F226" i="3"/>
  <c r="F237" i="3"/>
  <c r="F227" i="3"/>
  <c r="F235" i="3"/>
  <c r="F225" i="3"/>
  <c r="F224" i="3"/>
  <c r="F233" i="3"/>
  <c r="G233" i="3" s="1"/>
  <c r="F223" i="3"/>
  <c r="F232" i="3"/>
  <c r="G232" i="3" s="1"/>
  <c r="F222" i="3"/>
  <c r="G222" i="3" s="1"/>
  <c r="B732" i="2"/>
  <c r="B223" i="3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G205" i="3"/>
  <c r="G206" i="3"/>
  <c r="G211" i="3"/>
  <c r="G212" i="3"/>
  <c r="G214" i="3"/>
  <c r="G216" i="3"/>
  <c r="G217" i="3"/>
  <c r="G219" i="3"/>
  <c r="G202" i="3"/>
  <c r="F221" i="3"/>
  <c r="G221" i="3" s="1"/>
  <c r="F220" i="3"/>
  <c r="G220" i="3" s="1"/>
  <c r="F219" i="3"/>
  <c r="F218" i="3"/>
  <c r="G218" i="3" s="1"/>
  <c r="F216" i="3"/>
  <c r="F217" i="3"/>
  <c r="F215" i="3"/>
  <c r="G215" i="3" s="1"/>
  <c r="F214" i="3"/>
  <c r="F213" i="3"/>
  <c r="G213" i="3" s="1"/>
  <c r="F212" i="3"/>
  <c r="F211" i="3"/>
  <c r="F210" i="3"/>
  <c r="G210" i="3" s="1"/>
  <c r="F209" i="3"/>
  <c r="G209" i="3" s="1"/>
  <c r="F208" i="3"/>
  <c r="G208" i="3" s="1"/>
  <c r="F206" i="3"/>
  <c r="F207" i="3"/>
  <c r="G207" i="3" s="1"/>
  <c r="F205" i="3"/>
  <c r="F204" i="3"/>
  <c r="G204" i="3" s="1"/>
  <c r="F203" i="3"/>
  <c r="G203" i="3" s="1"/>
  <c r="F202" i="3"/>
  <c r="B203" i="3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G194" i="3"/>
  <c r="G196" i="3"/>
  <c r="G197" i="3"/>
  <c r="G198" i="3"/>
  <c r="G199" i="3"/>
  <c r="G200" i="3"/>
  <c r="G189" i="3"/>
  <c r="G183" i="3"/>
  <c r="G186" i="3"/>
  <c r="F201" i="3"/>
  <c r="F191" i="3"/>
  <c r="F200" i="3"/>
  <c r="F190" i="3"/>
  <c r="G190" i="3" s="1"/>
  <c r="F199" i="3"/>
  <c r="F189" i="3"/>
  <c r="F198" i="3"/>
  <c r="F188" i="3"/>
  <c r="F196" i="3"/>
  <c r="F186" i="3"/>
  <c r="F197" i="3"/>
  <c r="F187" i="3"/>
  <c r="G187" i="3" s="1"/>
  <c r="F195" i="3"/>
  <c r="G195" i="3" s="1"/>
  <c r="F185" i="3"/>
  <c r="G185" i="3" s="1"/>
  <c r="F194" i="3"/>
  <c r="F184" i="3"/>
  <c r="G184" i="3" s="1"/>
  <c r="F193" i="3"/>
  <c r="G193" i="3" s="1"/>
  <c r="F183" i="3"/>
  <c r="F192" i="3"/>
  <c r="F182" i="3"/>
  <c r="G182" i="3" s="1"/>
  <c r="G174" i="3"/>
  <c r="G175" i="3"/>
  <c r="G172" i="3"/>
  <c r="F181" i="3"/>
  <c r="F180" i="3"/>
  <c r="G180" i="3" s="1"/>
  <c r="F179" i="3"/>
  <c r="G179" i="3" s="1"/>
  <c r="F178" i="3"/>
  <c r="G178" i="3" s="1"/>
  <c r="F176" i="3"/>
  <c r="G176" i="3" s="1"/>
  <c r="F177" i="3"/>
  <c r="G177" i="3" s="1"/>
  <c r="F175" i="3"/>
  <c r="F174" i="3"/>
  <c r="F173" i="3"/>
  <c r="G173" i="3" s="1"/>
  <c r="F172" i="3"/>
  <c r="G167" i="3"/>
  <c r="G168" i="3"/>
  <c r="G170" i="3"/>
  <c r="F170" i="3"/>
  <c r="F171" i="3"/>
  <c r="G171" i="3" s="1"/>
  <c r="F169" i="3"/>
  <c r="G169" i="3" s="1"/>
  <c r="F168" i="3"/>
  <c r="F166" i="3"/>
  <c r="G166" i="3" s="1"/>
  <c r="F165" i="3"/>
  <c r="G165" i="3" s="1"/>
  <c r="F164" i="3"/>
  <c r="G164" i="3" s="1"/>
  <c r="F163" i="3"/>
  <c r="G163" i="3" s="1"/>
  <c r="F162" i="3"/>
  <c r="G162" i="3" s="1"/>
  <c r="B628" i="2"/>
  <c r="B183" i="3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163" i="3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F161" i="3"/>
  <c r="F160" i="3"/>
  <c r="F159" i="3"/>
  <c r="F158" i="3"/>
  <c r="F156" i="3"/>
  <c r="F155" i="3"/>
  <c r="F154" i="3"/>
  <c r="F153" i="3"/>
  <c r="F152" i="3"/>
  <c r="F151" i="3"/>
  <c r="F150" i="3"/>
  <c r="F149" i="3"/>
  <c r="F148" i="3"/>
  <c r="F146" i="3"/>
  <c r="F145" i="3"/>
  <c r="F144" i="3"/>
  <c r="F143" i="3"/>
  <c r="F142" i="3"/>
  <c r="B581" i="2"/>
  <c r="B582" i="2" s="1"/>
  <c r="B143" i="3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G60" i="3"/>
  <c r="G53" i="3"/>
  <c r="G52" i="3"/>
  <c r="G50" i="3"/>
  <c r="G49" i="3"/>
  <c r="G43" i="3"/>
  <c r="G42" i="3"/>
  <c r="F61" i="3"/>
  <c r="G61" i="3" s="1"/>
  <c r="F51" i="3"/>
  <c r="G51" i="3" s="1"/>
  <c r="F59" i="3"/>
  <c r="G59" i="3" s="1"/>
  <c r="F49" i="3"/>
  <c r="F58" i="3"/>
  <c r="G58" i="3" s="1"/>
  <c r="F48" i="3"/>
  <c r="G48" i="3" s="1"/>
  <c r="F56" i="3"/>
  <c r="G56" i="3" s="1"/>
  <c r="F46" i="3"/>
  <c r="G46" i="3" s="1"/>
  <c r="F57" i="3"/>
  <c r="G57" i="3" s="1"/>
  <c r="F54" i="3"/>
  <c r="G54" i="3" s="1"/>
  <c r="F44" i="3"/>
  <c r="G44" i="3" s="1"/>
  <c r="F47" i="3"/>
  <c r="G47" i="3" s="1"/>
  <c r="F55" i="3"/>
  <c r="G55" i="3" s="1"/>
  <c r="F45" i="3"/>
  <c r="G45" i="3" s="1"/>
  <c r="F52" i="3"/>
  <c r="F42" i="3"/>
  <c r="F121" i="3"/>
  <c r="F111" i="3"/>
  <c r="F118" i="3"/>
  <c r="F108" i="3"/>
  <c r="F116" i="3"/>
  <c r="F106" i="3"/>
  <c r="F117" i="3"/>
  <c r="F115" i="3"/>
  <c r="F105" i="3"/>
  <c r="F114" i="3"/>
  <c r="F104" i="3"/>
  <c r="F112" i="3"/>
  <c r="F102" i="3"/>
  <c r="F101" i="3"/>
  <c r="F91" i="3"/>
  <c r="F99" i="3"/>
  <c r="F89" i="3"/>
  <c r="F98" i="3"/>
  <c r="F88" i="3"/>
  <c r="F96" i="3"/>
  <c r="F86" i="3"/>
  <c r="F97" i="3"/>
  <c r="F87" i="3"/>
  <c r="F95" i="3"/>
  <c r="F85" i="3"/>
  <c r="F94" i="3"/>
  <c r="F84" i="3"/>
  <c r="F92" i="3"/>
  <c r="F82" i="3"/>
  <c r="F81" i="3"/>
  <c r="F71" i="3"/>
  <c r="F79" i="3"/>
  <c r="F69" i="3"/>
  <c r="F78" i="3"/>
  <c r="F68" i="3"/>
  <c r="F76" i="3"/>
  <c r="F66" i="3"/>
  <c r="F77" i="3"/>
  <c r="F67" i="3"/>
  <c r="F75" i="3"/>
  <c r="F65" i="3"/>
  <c r="F74" i="3"/>
  <c r="F64" i="3"/>
  <c r="F72" i="3"/>
  <c r="F62" i="3"/>
  <c r="F41" i="3"/>
  <c r="F31" i="3"/>
  <c r="F39" i="3"/>
  <c r="F29" i="3"/>
  <c r="F38" i="3"/>
  <c r="F28" i="3"/>
  <c r="F26" i="3"/>
  <c r="F35" i="3"/>
  <c r="F25" i="3"/>
  <c r="F24" i="3"/>
  <c r="F32" i="3"/>
  <c r="F22" i="3"/>
  <c r="F141" i="3"/>
  <c r="F131" i="3"/>
  <c r="F139" i="3"/>
  <c r="F129" i="3"/>
  <c r="F138" i="3"/>
  <c r="F128" i="3"/>
  <c r="F136" i="3"/>
  <c r="F126" i="3"/>
  <c r="F137" i="3"/>
  <c r="F125" i="3"/>
  <c r="F134" i="3"/>
  <c r="F124" i="3"/>
  <c r="F122" i="3" l="1"/>
  <c r="B123" i="3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03" i="3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513" i="2"/>
  <c r="B514" i="2" s="1"/>
  <c r="B83" i="3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63" i="3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43" i="3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23" i="3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335" i="2"/>
  <c r="B336" i="2" l="1"/>
  <c r="B337" i="2" l="1"/>
  <c r="B338" i="2" s="1"/>
  <c r="B339" i="2" s="1"/>
  <c r="B340" i="2" s="1"/>
  <c r="B341" i="2" s="1"/>
  <c r="B342" i="2" l="1"/>
  <c r="B343" i="2" s="1"/>
  <c r="B344" i="2" s="1"/>
  <c r="B345" i="2" s="1"/>
  <c r="B346" i="2" s="1"/>
  <c r="B347" i="2" l="1"/>
  <c r="B348" i="2" l="1"/>
  <c r="B349" i="2" l="1"/>
  <c r="B350" i="2" l="1"/>
  <c r="B418" i="2"/>
  <c r="B351" i="2"/>
  <c r="B352" i="2"/>
  <c r="B353" i="2"/>
  <c r="B354" i="2"/>
  <c r="B515" i="2"/>
  <c r="B516" i="2"/>
  <c r="B517" i="2"/>
  <c r="B518" i="2"/>
  <c r="B519" i="2"/>
  <c r="B520" i="2"/>
  <c r="B521" i="2"/>
  <c r="B522" i="2"/>
  <c r="B523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1010" i="2"/>
  <c r="B1011" i="2"/>
  <c r="B1012" i="2"/>
  <c r="B1013" i="2"/>
  <c r="B1014" i="2"/>
  <c r="B1015" i="2"/>
  <c r="B1016" i="2"/>
  <c r="B946" i="2"/>
  <c r="B947" i="2"/>
  <c r="B948" i="2"/>
  <c r="B524" i="2"/>
  <c r="B525" i="2"/>
  <c r="B526" i="2"/>
  <c r="B527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15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017" i="2"/>
  <c r="B1018" i="2"/>
  <c r="B1019" i="2"/>
  <c r="B1020" i="2"/>
  <c r="B1021" i="2"/>
  <c r="B1022" i="2"/>
  <c r="B1023" i="2"/>
  <c r="B1024" i="2"/>
  <c r="B1025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440" i="2"/>
  <c r="B441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5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566" i="2"/>
  <c r="B567" i="2"/>
  <c r="B568" i="2"/>
  <c r="B569" i="2"/>
  <c r="B570" i="2"/>
  <c r="B571" i="2"/>
  <c r="B572" i="2"/>
  <c r="B1026" i="2"/>
  <c r="B1027" i="2"/>
  <c r="B1028" i="2"/>
  <c r="B1029" i="2"/>
  <c r="B1030" i="2"/>
  <c r="B1031" i="2"/>
  <c r="B1032" i="2"/>
  <c r="B1033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1048" i="2"/>
  <c r="B1049" i="2"/>
  <c r="B1050" i="2"/>
  <c r="B1051" i="2"/>
  <c r="B1052" i="2"/>
  <c r="B1053" i="2"/>
  <c r="B1054" i="2"/>
  <c r="B1055" i="2"/>
  <c r="B1056" i="2"/>
  <c r="B1057" i="2"/>
  <c r="B1058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059" i="2"/>
  <c r="B1060" i="2"/>
  <c r="B1061" i="2"/>
  <c r="B1062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39" i="2"/>
  <c r="B1340" i="2"/>
  <c r="B1341" i="2"/>
  <c r="B1342" i="2"/>
  <c r="B528" i="2"/>
  <c r="B529" i="2"/>
  <c r="B530" i="2"/>
  <c r="B531" i="2"/>
  <c r="B532" i="2"/>
  <c r="B533" i="2"/>
  <c r="B534" i="2"/>
  <c r="B535" i="2"/>
  <c r="B536" i="2"/>
  <c r="B846" i="2"/>
  <c r="B847" i="2"/>
  <c r="B848" i="2"/>
  <c r="B849" i="2"/>
  <c r="B850" i="2"/>
  <c r="B851" i="2"/>
  <c r="B852" i="2"/>
  <c r="B853" i="2"/>
  <c r="B854" i="2"/>
  <c r="B855" i="2"/>
  <c r="B856" i="2"/>
  <c r="B537" i="2"/>
  <c r="B538" i="2"/>
  <c r="B539" i="2"/>
  <c r="B540" i="2"/>
  <c r="B541" i="2"/>
  <c r="B542" i="2"/>
  <c r="B1343" i="2"/>
  <c r="B1344" i="2"/>
  <c r="B1345" i="2"/>
  <c r="B1346" i="2"/>
  <c r="B1347" i="2"/>
  <c r="B1348" i="2"/>
  <c r="B1349" i="2"/>
  <c r="B1350" i="2"/>
  <c r="B1351" i="2"/>
  <c r="B1352" i="2"/>
  <c r="B1353" i="2"/>
  <c r="B573" i="2"/>
  <c r="B574" i="2"/>
  <c r="B575" i="2"/>
  <c r="B576" i="2"/>
  <c r="B577" i="2"/>
  <c r="B578" i="2"/>
  <c r="B579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996" i="2"/>
  <c r="B997" i="2"/>
  <c r="B998" i="2"/>
  <c r="B999" i="2"/>
  <c r="B1000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706" i="2"/>
  <c r="B707" i="2"/>
  <c r="B708" i="2"/>
  <c r="B442" i="2"/>
  <c r="B443" i="2"/>
  <c r="B444" i="2"/>
  <c r="B445" i="2"/>
  <c r="B446" i="2"/>
  <c r="B1046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750" i="2"/>
  <c r="B751" i="2"/>
  <c r="B752" i="2"/>
  <c r="B753" i="2"/>
  <c r="B754" i="2"/>
  <c r="B755" i="2"/>
  <c r="B756" i="2"/>
  <c r="B757" i="2"/>
  <c r="B892" i="2"/>
  <c r="B893" i="2"/>
  <c r="B894" i="2"/>
  <c r="B895" i="2"/>
  <c r="B896" i="2"/>
  <c r="B897" i="2"/>
  <c r="B898" i="2"/>
  <c r="B899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900" i="2"/>
  <c r="B416" i="2"/>
  <c r="B723" i="2"/>
  <c r="B724" i="2"/>
  <c r="B725" i="2"/>
  <c r="B770" i="2"/>
  <c r="B771" i="2"/>
  <c r="B543" i="2"/>
  <c r="B544" i="2"/>
  <c r="B545" i="2"/>
  <c r="B666" i="2"/>
  <c r="B726" i="2"/>
  <c r="B727" i="2"/>
  <c r="B728" i="2"/>
  <c r="B729" i="2"/>
  <c r="B730" i="2"/>
  <c r="B1209" i="2"/>
  <c r="B1210" i="2"/>
  <c r="B1211" i="2"/>
  <c r="B1212" i="2"/>
  <c r="B1213" i="2"/>
  <c r="B1390" i="2"/>
  <c r="B1391" i="2"/>
  <c r="B1392" i="2"/>
  <c r="B1393" i="2"/>
  <c r="B1394" i="2"/>
  <c r="B1395" i="2"/>
  <c r="B626" i="2"/>
  <c r="B1396" i="2"/>
  <c r="B1397" i="2"/>
  <c r="B1398" i="2"/>
  <c r="B1399" i="2"/>
  <c r="B1140" i="2"/>
  <c r="B1141" i="2"/>
  <c r="B1142" i="2"/>
  <c r="B1265" i="2"/>
  <c r="B772" i="2"/>
  <c r="B773" i="2"/>
  <c r="B774" i="2"/>
  <c r="B775" i="2"/>
  <c r="B776" i="2"/>
  <c r="B777" i="2"/>
  <c r="B1001" i="2"/>
  <c r="B1002" i="2"/>
  <c r="B1003" i="2"/>
  <c r="B1004" i="2"/>
  <c r="B1005" i="2"/>
</calcChain>
</file>

<file path=xl/sharedStrings.xml><?xml version="1.0" encoding="utf-8"?>
<sst xmlns="http://schemas.openxmlformats.org/spreadsheetml/2006/main" count="4447" uniqueCount="542">
  <si>
    <t>Segment</t>
  </si>
  <si>
    <t>Site</t>
  </si>
  <si>
    <t>WBID</t>
  </si>
  <si>
    <t>Date</t>
  </si>
  <si>
    <t>Average SCI</t>
  </si>
  <si>
    <t>Average RPA</t>
  </si>
  <si>
    <t>Allen's Creek</t>
  </si>
  <si>
    <t>19-08</t>
  </si>
  <si>
    <t>1604B1</t>
  </si>
  <si>
    <t>19-12</t>
  </si>
  <si>
    <t>Long Branch</t>
  </si>
  <si>
    <t>22-05</t>
  </si>
  <si>
    <t>22-16</t>
  </si>
  <si>
    <t>Mullet Creek</t>
  </si>
  <si>
    <t>13-05</t>
  </si>
  <si>
    <t>1575A</t>
  </si>
  <si>
    <t>Cow Branch</t>
  </si>
  <si>
    <t>06-03</t>
  </si>
  <si>
    <t>Alligator Creek</t>
  </si>
  <si>
    <t>14-10</t>
  </si>
  <si>
    <t>14-11</t>
  </si>
  <si>
    <t>Brooker Creek</t>
  </si>
  <si>
    <t>04-03</t>
  </si>
  <si>
    <t>04-04</t>
  </si>
  <si>
    <t>04-05</t>
  </si>
  <si>
    <t>Bishop Creek</t>
  </si>
  <si>
    <t>12-04</t>
  </si>
  <si>
    <t>1569A</t>
  </si>
  <si>
    <t>12-06</t>
  </si>
  <si>
    <t>Briar Creek</t>
  </si>
  <si>
    <t>11-05</t>
  </si>
  <si>
    <t>1541C</t>
  </si>
  <si>
    <t>Bee Branch</t>
  </si>
  <si>
    <t>08-03</t>
  </si>
  <si>
    <t>1527B</t>
  </si>
  <si>
    <t>08-04</t>
  </si>
  <si>
    <t>Church Creek</t>
  </si>
  <si>
    <t>27-08</t>
  </si>
  <si>
    <t>Curlew Creek</t>
  </si>
  <si>
    <t>10-01</t>
  </si>
  <si>
    <t>1538A</t>
  </si>
  <si>
    <t>10-02</t>
  </si>
  <si>
    <t>Jerry Branch</t>
  </si>
  <si>
    <t>10-07</t>
  </si>
  <si>
    <t>10-06</t>
  </si>
  <si>
    <t>Joe's Creek</t>
  </si>
  <si>
    <t>35-10</t>
  </si>
  <si>
    <t>1668A</t>
  </si>
  <si>
    <t>McKay Creek</t>
  </si>
  <si>
    <t>27-11</t>
  </si>
  <si>
    <t>1633E</t>
  </si>
  <si>
    <t>Rattlesnake Creek</t>
  </si>
  <si>
    <t>17-01</t>
  </si>
  <si>
    <t>Spring Branch</t>
  </si>
  <si>
    <t>15-04</t>
  </si>
  <si>
    <t>1567B</t>
  </si>
  <si>
    <t>Stevenson Creek</t>
  </si>
  <si>
    <t>18-06</t>
  </si>
  <si>
    <t>1567C</t>
  </si>
  <si>
    <t>Hollin Creek</t>
  </si>
  <si>
    <t>01-09</t>
  </si>
  <si>
    <t>Cross Canal</t>
  </si>
  <si>
    <t>24-07</t>
  </si>
  <si>
    <t>Rep</t>
  </si>
  <si>
    <t>Taxa</t>
  </si>
  <si>
    <t>Abundance</t>
  </si>
  <si>
    <t>Pyrgophorus platyrachis</t>
  </si>
  <si>
    <t>Planorbella scalaris</t>
  </si>
  <si>
    <t>Melanoides tuberculata</t>
  </si>
  <si>
    <t>Tarebia granifera</t>
  </si>
  <si>
    <t>Corbicula spp.</t>
  </si>
  <si>
    <t>Senticaudata spp.</t>
  </si>
  <si>
    <t>Hyalella spp.</t>
  </si>
  <si>
    <t>Baetidae spp.</t>
  </si>
  <si>
    <t>Baetis intercalaris</t>
  </si>
  <si>
    <t>Argia spp.</t>
  </si>
  <si>
    <t>Argia sedula</t>
  </si>
  <si>
    <t>Cheumatopsyche spp.</t>
  </si>
  <si>
    <t>Neotrichia spp.</t>
  </si>
  <si>
    <t>Stenelmis spp.</t>
  </si>
  <si>
    <t>Microcylloepus spp.</t>
  </si>
  <si>
    <t>Ablabesmyia mallochi</t>
  </si>
  <si>
    <t>Pentaneura inconspicua</t>
  </si>
  <si>
    <t>Polypedilum flavum</t>
  </si>
  <si>
    <t>Polypedilum illinoense group</t>
  </si>
  <si>
    <t>Rheotanytarsus exiguus group</t>
  </si>
  <si>
    <t>Paracladopelma spp.</t>
  </si>
  <si>
    <t>Ceratopogoninae spp.</t>
  </si>
  <si>
    <t>Atrichopogon spp.</t>
  </si>
  <si>
    <t>Menetus dilatatus</t>
  </si>
  <si>
    <t>Ferrissia fragilis</t>
  </si>
  <si>
    <t>Coenagrionidae spp.</t>
  </si>
  <si>
    <t>Tanytarsus buckleyi</t>
  </si>
  <si>
    <t>Stenochironomus spp.</t>
  </si>
  <si>
    <t>Gastropoda spp.</t>
  </si>
  <si>
    <t>Amnicola dalli</t>
  </si>
  <si>
    <t>Caenis spp.</t>
  </si>
  <si>
    <t>Caenis diminuta</t>
  </si>
  <si>
    <t>Anisoptera spp.</t>
  </si>
  <si>
    <t>Enallagma spp.</t>
  </si>
  <si>
    <t>Polycentropodidae spp.</t>
  </si>
  <si>
    <t>Hydropsychidae spp.</t>
  </si>
  <si>
    <t>Hydroptilidae spp.</t>
  </si>
  <si>
    <t>Oxyethira spp.</t>
  </si>
  <si>
    <t>Dubiraphia spp.</t>
  </si>
  <si>
    <t>Chironomidae spp.</t>
  </si>
  <si>
    <t>Tanytarsus spp.</t>
  </si>
  <si>
    <t>Polypedilum spp.</t>
  </si>
  <si>
    <t>Dicrotendipes spp.</t>
  </si>
  <si>
    <t>Forcipomyia spp.</t>
  </si>
  <si>
    <t>Pericomaini spp.</t>
  </si>
  <si>
    <t>Elophila spp.</t>
  </si>
  <si>
    <t>Amphipoda spp.</t>
  </si>
  <si>
    <t>Palaemon paludosus</t>
  </si>
  <si>
    <t>Cambarinae spp.</t>
  </si>
  <si>
    <t>Hydroptila spp.</t>
  </si>
  <si>
    <t>Pentaneura spp.</t>
  </si>
  <si>
    <t>Tribelos fuscicorne</t>
  </si>
  <si>
    <t>Orthocladiinae spp.</t>
  </si>
  <si>
    <t>Heteroptera spp.</t>
  </si>
  <si>
    <t>Lepidoptera spp.</t>
  </si>
  <si>
    <t>Collembola spp.</t>
  </si>
  <si>
    <t>Nais communis</t>
  </si>
  <si>
    <t>Physa acuta</t>
  </si>
  <si>
    <t>Trichoptera spp.</t>
  </si>
  <si>
    <t>Thienemanniella spp.</t>
  </si>
  <si>
    <t>Thienemanniella xena</t>
  </si>
  <si>
    <t>Slavina evelinae</t>
  </si>
  <si>
    <t>Tipula spp.</t>
  </si>
  <si>
    <t>Neargyractis spp.</t>
  </si>
  <si>
    <t>Planorbidae spp.</t>
  </si>
  <si>
    <t>Cassidinidea ovalis</t>
  </si>
  <si>
    <t>Uromunna reynoldsi</t>
  </si>
  <si>
    <t>Veliidae spp.</t>
  </si>
  <si>
    <t>Nais pardalis</t>
  </si>
  <si>
    <t>Peltodytes spp.</t>
  </si>
  <si>
    <t>Polypedilum scalaenum group</t>
  </si>
  <si>
    <t>Lumbriculus cf. variegatus</t>
  </si>
  <si>
    <t>Sparganophilus spp.</t>
  </si>
  <si>
    <t>Scirtes spp.</t>
  </si>
  <si>
    <t>Diptera spp.</t>
  </si>
  <si>
    <t>Tanypodinae spp.</t>
  </si>
  <si>
    <t>Chironominae spp.</t>
  </si>
  <si>
    <t>Cladotanytarsus spp.</t>
  </si>
  <si>
    <t>Cladotanytarsus viridiventris</t>
  </si>
  <si>
    <t>Cryptochironomus spp.</t>
  </si>
  <si>
    <t>Limonia spp.</t>
  </si>
  <si>
    <t>Neumania spp.</t>
  </si>
  <si>
    <t>Limnesia spp.</t>
  </si>
  <si>
    <t>Tubificinae spp.</t>
  </si>
  <si>
    <t>Lymnaea columella</t>
  </si>
  <si>
    <t>Enochrus spp.</t>
  </si>
  <si>
    <t>Labrundinia spp.</t>
  </si>
  <si>
    <t>Chironomus spp.</t>
  </si>
  <si>
    <t>Cricotopus spp.</t>
  </si>
  <si>
    <t>Sisyra vicaria</t>
  </si>
  <si>
    <t>Polypedilum beckae</t>
  </si>
  <si>
    <t>Hirudinida spp.</t>
  </si>
  <si>
    <t>Sphaeriidae spp.</t>
  </si>
  <si>
    <t>Oecetis spp.</t>
  </si>
  <si>
    <t>Cricotopus or Orthocladius</t>
  </si>
  <si>
    <t>2015-04-03</t>
  </si>
  <si>
    <t>2015-10-26</t>
  </si>
  <si>
    <t>2015-03-31</t>
  </si>
  <si>
    <t>2017-04-05</t>
  </si>
  <si>
    <t>2017-10-18</t>
  </si>
  <si>
    <t>2019-05-24</t>
  </si>
  <si>
    <t>2019-12-06</t>
  </si>
  <si>
    <t>2021-04-29</t>
  </si>
  <si>
    <t>2022-02-23</t>
  </si>
  <si>
    <t>2023-03-10</t>
  </si>
  <si>
    <t>2015-03-24</t>
  </si>
  <si>
    <t>2015-10-23</t>
  </si>
  <si>
    <t>2017-11-01</t>
  </si>
  <si>
    <t>2015-03-15</t>
  </si>
  <si>
    <t>2015-11-13</t>
  </si>
  <si>
    <t>2017-11-28</t>
  </si>
  <si>
    <t>2018-05-09</t>
  </si>
  <si>
    <t>2019-03-29</t>
  </si>
  <si>
    <t>2020-01-14</t>
  </si>
  <si>
    <t>2021-03-12</t>
  </si>
  <si>
    <t>2022-01-05</t>
  </si>
  <si>
    <t>2023-03-02</t>
  </si>
  <si>
    <t>2015-02-17</t>
  </si>
  <si>
    <t>2015-11-18</t>
  </si>
  <si>
    <t>2017-03-03</t>
  </si>
  <si>
    <t>2017-11-15</t>
  </si>
  <si>
    <t>2019-03-22</t>
  </si>
  <si>
    <t>2019-11-22</t>
  </si>
  <si>
    <t>2023-03-09</t>
  </si>
  <si>
    <t>2015-03-19</t>
  </si>
  <si>
    <t>2015-10-12</t>
  </si>
  <si>
    <t>2016-04-06</t>
  </si>
  <si>
    <t>2016-08-03</t>
  </si>
  <si>
    <t>2016-09-19</t>
  </si>
  <si>
    <t>2017-10-19</t>
  </si>
  <si>
    <t>2016-05-12</t>
  </si>
  <si>
    <t>2016-12-15</t>
  </si>
  <si>
    <t>2019-04-12</t>
  </si>
  <si>
    <t>2019-11-08</t>
  </si>
  <si>
    <t>2021-03-03</t>
  </si>
  <si>
    <t>2021-11-16</t>
  </si>
  <si>
    <t>2016-06-27</t>
  </si>
  <si>
    <t>2017-08-09</t>
  </si>
  <si>
    <t>2016-10-31</t>
  </si>
  <si>
    <t>2015-02-03</t>
  </si>
  <si>
    <t>2017-10-27</t>
  </si>
  <si>
    <t>2019-04-05</t>
  </si>
  <si>
    <t>2020-10-15</t>
  </si>
  <si>
    <t>2015-02-25</t>
  </si>
  <si>
    <t>2015-12-04</t>
  </si>
  <si>
    <t>2017-12-15</t>
  </si>
  <si>
    <t>2018-03-30</t>
  </si>
  <si>
    <t>2019-06-04</t>
  </si>
  <si>
    <t>2020-06-03</t>
  </si>
  <si>
    <t>2020-10-19</t>
  </si>
  <si>
    <t>2021-12-17</t>
  </si>
  <si>
    <t>2016-02-04</t>
  </si>
  <si>
    <t>2017-01-27</t>
  </si>
  <si>
    <t>2017-11-21</t>
  </si>
  <si>
    <t>2018-03-08</t>
  </si>
  <si>
    <t>2019-05-31</t>
  </si>
  <si>
    <t>2019-11-01</t>
  </si>
  <si>
    <t>2021-04-02</t>
  </si>
  <si>
    <t>2021-11-19</t>
  </si>
  <si>
    <t>2014-04-17</t>
  </si>
  <si>
    <t>2014-12-16</t>
  </si>
  <si>
    <t>2016-02-10</t>
  </si>
  <si>
    <t>2016-10-12</t>
  </si>
  <si>
    <t>2017-04-11</t>
  </si>
  <si>
    <t>2018-02-01</t>
  </si>
  <si>
    <t>2018-10-26</t>
  </si>
  <si>
    <t>2020-02-19</t>
  </si>
  <si>
    <t>2020-09-30</t>
  </si>
  <si>
    <t>2022-12-09</t>
  </si>
  <si>
    <t>2024-04-30</t>
  </si>
  <si>
    <t>2014-04-28</t>
  </si>
  <si>
    <t>2014-12-03</t>
  </si>
  <si>
    <t>2016-03-09</t>
  </si>
  <si>
    <t>2016-11-23</t>
  </si>
  <si>
    <t>2018-02-22</t>
  </si>
  <si>
    <t>2019-02-08</t>
  </si>
  <si>
    <t>2020-03-27</t>
  </si>
  <si>
    <t>2020-12-14</t>
  </si>
  <si>
    <t>2022-03-09</t>
  </si>
  <si>
    <t>2022-11-30</t>
  </si>
  <si>
    <t>2024-05-06</t>
  </si>
  <si>
    <t>2014-05-08</t>
  </si>
  <si>
    <t>2014-10-24</t>
  </si>
  <si>
    <t>2016-04-10</t>
  </si>
  <si>
    <t>2016-11-16</t>
  </si>
  <si>
    <t>2018-02-16</t>
  </si>
  <si>
    <t>2018-11-30</t>
  </si>
  <si>
    <t>2020-11-24</t>
  </si>
  <si>
    <t>2024-05-02</t>
  </si>
  <si>
    <t>2014-11-24</t>
  </si>
  <si>
    <t>2015-12-10</t>
  </si>
  <si>
    <t>2016-04-13</t>
  </si>
  <si>
    <t>2018-01-26</t>
  </si>
  <si>
    <t>2020-02-21</t>
  </si>
  <si>
    <t>2014-05-14</t>
  </si>
  <si>
    <t>2014-10-28</t>
  </si>
  <si>
    <t>2016-02-23</t>
  </si>
  <si>
    <t>2016-12-07</t>
  </si>
  <si>
    <t>2018-02-27</t>
  </si>
  <si>
    <t>2019-01-04</t>
  </si>
  <si>
    <t>2020-03-04</t>
  </si>
  <si>
    <t>2020-12-10</t>
  </si>
  <si>
    <t>2022-12-06</t>
  </si>
  <si>
    <t>2024-05-10</t>
  </si>
  <si>
    <t>2014-04-23</t>
  </si>
  <si>
    <t>2014-12-02</t>
  </si>
  <si>
    <t>2015-05-07</t>
  </si>
  <si>
    <t>2016-01-26</t>
  </si>
  <si>
    <t>2016-10-05</t>
  </si>
  <si>
    <t>2018-02-20</t>
  </si>
  <si>
    <t>2018-10-22</t>
  </si>
  <si>
    <t>2020-12-11</t>
  </si>
  <si>
    <t>2014-04-24</t>
  </si>
  <si>
    <t>2014-11-14</t>
  </si>
  <si>
    <t>2016-04-26</t>
  </si>
  <si>
    <t>2016-10-19</t>
  </si>
  <si>
    <t>2018-04-03</t>
  </si>
  <si>
    <t>2018-11-16</t>
  </si>
  <si>
    <t>2020-10-08</t>
  </si>
  <si>
    <t>2022-12-02</t>
  </si>
  <si>
    <t>2014-05-15</t>
  </si>
  <si>
    <t>2015-01-06</t>
  </si>
  <si>
    <t>2016-03-08</t>
  </si>
  <si>
    <t>2016-11-30</t>
  </si>
  <si>
    <t>2018-05-22</t>
  </si>
  <si>
    <t>2019-01-10</t>
  </si>
  <si>
    <t>2021-03-10</t>
  </si>
  <si>
    <t>2024-05-09</t>
  </si>
  <si>
    <t>2014-05-01</t>
  </si>
  <si>
    <t>2014-10-09</t>
  </si>
  <si>
    <t>2016-02-17</t>
  </si>
  <si>
    <t>2016-11-09</t>
  </si>
  <si>
    <t>2018-03-27</t>
  </si>
  <si>
    <t>2018-10-29</t>
  </si>
  <si>
    <t>2020-02-13</t>
  </si>
  <si>
    <t>2020-11-05</t>
  </si>
  <si>
    <t>2015-04-07</t>
  </si>
  <si>
    <t>2017-12-06</t>
  </si>
  <si>
    <t>2018-11-02</t>
  </si>
  <si>
    <t>2020-03-26</t>
  </si>
  <si>
    <t>2021-01-12</t>
  </si>
  <si>
    <t>2022-11-06</t>
  </si>
  <si>
    <t>2015-05-01</t>
  </si>
  <si>
    <t>2015-12-08</t>
  </si>
  <si>
    <t>SCI Metric</t>
  </si>
  <si>
    <t>Raw Totals</t>
  </si>
  <si>
    <t>SCI scores</t>
  </si>
  <si>
    <t>Adjusted SCI scores</t>
  </si>
  <si>
    <t>Total Taxa</t>
  </si>
  <si>
    <t>Total Ephemeroptera</t>
  </si>
  <si>
    <t>Total Trichoptera</t>
  </si>
  <si>
    <t>% Filter Feeders</t>
  </si>
  <si>
    <t>Total Clingers</t>
  </si>
  <si>
    <t>Total Long-lived Taxa</t>
  </si>
  <si>
    <t>% Dominance</t>
  </si>
  <si>
    <t>% Tanytarsini</t>
  </si>
  <si>
    <t>Total Sensitive Taxa</t>
  </si>
  <si>
    <t>% Very Tolerant Individuals</t>
  </si>
  <si>
    <t>Baetidae</t>
  </si>
  <si>
    <t>Enallagma coecum</t>
  </si>
  <si>
    <t>Enallagma sp</t>
  </si>
  <si>
    <t>Corynoneura sp</t>
  </si>
  <si>
    <t>Tanypodinae</t>
  </si>
  <si>
    <t>Microcylloepus pusillus</t>
  </si>
  <si>
    <t>Laevepex fuscus</t>
  </si>
  <si>
    <t>Melanoides sp</t>
  </si>
  <si>
    <t>Physa</t>
  </si>
  <si>
    <t>Hyalella azteca</t>
  </si>
  <si>
    <t>Prostoma</t>
  </si>
  <si>
    <t>Sisyridae sp</t>
  </si>
  <si>
    <t>Argia sp</t>
  </si>
  <si>
    <t>Coenagrionidae</t>
  </si>
  <si>
    <t>Anax</t>
  </si>
  <si>
    <t>Cryptochironomus</t>
  </si>
  <si>
    <t>Labrundinia pilosa</t>
  </si>
  <si>
    <t>Polypedilum illinoense gp</t>
  </si>
  <si>
    <t>Thienemaniella sp</t>
  </si>
  <si>
    <t>Aphaostracon</t>
  </si>
  <si>
    <t>Slavina appendiculata</t>
  </si>
  <si>
    <t>Belastomidae</t>
  </si>
  <si>
    <t>Oniscidae</t>
  </si>
  <si>
    <t>Isotomidae</t>
  </si>
  <si>
    <t>Psychoda</t>
  </si>
  <si>
    <t>Cricotopus bicinctus</t>
  </si>
  <si>
    <t>Nanocladius sp</t>
  </si>
  <si>
    <t>Ancylidae</t>
  </si>
  <si>
    <t>Hebetancylus excentricus</t>
  </si>
  <si>
    <t>Physa cubensis</t>
  </si>
  <si>
    <t>Limnodrilus hoffmeisteri</t>
  </si>
  <si>
    <t>Lumbriculus variegatus</t>
  </si>
  <si>
    <t>Naididae</t>
  </si>
  <si>
    <t>Nais elinguis</t>
  </si>
  <si>
    <t>Nais sp</t>
  </si>
  <si>
    <t>Pristina proboscidea</t>
  </si>
  <si>
    <t>Pristina sp</t>
  </si>
  <si>
    <t>Tubificidae</t>
  </si>
  <si>
    <t>Gloiobdella triserialis</t>
  </si>
  <si>
    <t>Hirudinea sp</t>
  </si>
  <si>
    <t>Nemertea</t>
  </si>
  <si>
    <t>Caenis sp</t>
  </si>
  <si>
    <t>Pachydiplex longipennis</t>
  </si>
  <si>
    <t>Labrundinia sp</t>
  </si>
  <si>
    <t>Polypedilum sp</t>
  </si>
  <si>
    <t>Polypedilum halterale gp</t>
  </si>
  <si>
    <t>polypedilum scalaenum gp</t>
  </si>
  <si>
    <t>Polypedilum scalaenum gp</t>
  </si>
  <si>
    <t>Microcyllaepus pusillus</t>
  </si>
  <si>
    <t>Enchytraidae</t>
  </si>
  <si>
    <t>Helobdella stagnalis</t>
  </si>
  <si>
    <t>Erobdella sp</t>
  </si>
  <si>
    <t>Chironomidae sp</t>
  </si>
  <si>
    <t>Stenochironomus</t>
  </si>
  <si>
    <t>Elmidae</t>
  </si>
  <si>
    <t>Elophila gyralis</t>
  </si>
  <si>
    <t>Neargyractis slossonalis</t>
  </si>
  <si>
    <t>Dicrotendipes sp</t>
  </si>
  <si>
    <t>Paratanytarsus sp</t>
  </si>
  <si>
    <t>Rheotanytarsus</t>
  </si>
  <si>
    <t>Cheumatopsyche</t>
  </si>
  <si>
    <t>Neotrichia</t>
  </si>
  <si>
    <t xml:space="preserve">Neotrichia </t>
  </si>
  <si>
    <t>Stenelmis</t>
  </si>
  <si>
    <t xml:space="preserve">Stenelmis </t>
  </si>
  <si>
    <t>Dicrotendipes neomodestus</t>
  </si>
  <si>
    <t>Rheotanytarsus pellucidus</t>
  </si>
  <si>
    <t xml:space="preserve">Tanytarsus sp </t>
  </si>
  <si>
    <t xml:space="preserve">Stenelmis  </t>
  </si>
  <si>
    <t xml:space="preserve">Corbicula fluminea  </t>
  </si>
  <si>
    <t xml:space="preserve">Corbicula fluminea </t>
  </si>
  <si>
    <t xml:space="preserve">Paratanytarsus sp </t>
  </si>
  <si>
    <t xml:space="preserve">Rheotanytarsus pellucidus   </t>
  </si>
  <si>
    <t xml:space="preserve">Cheumatopsyche </t>
  </si>
  <si>
    <t>Melanoides turricula</t>
  </si>
  <si>
    <t xml:space="preserve">Pisidium sp </t>
  </si>
  <si>
    <t>Allonais inequalis</t>
  </si>
  <si>
    <t xml:space="preserve">Rheotanytarsus </t>
  </si>
  <si>
    <t xml:space="preserve">Rheotanytarsus pellucidus </t>
  </si>
  <si>
    <t>Hydroptila</t>
  </si>
  <si>
    <t xml:space="preserve">Cyrnellus fraternus </t>
  </si>
  <si>
    <t>Corbicula fluminea</t>
  </si>
  <si>
    <t xml:space="preserve">Hydroptila </t>
  </si>
  <si>
    <t xml:space="preserve">Hydroptila  </t>
  </si>
  <si>
    <t xml:space="preserve">Eupera cubensis </t>
  </si>
  <si>
    <t xml:space="preserve">Dicrotendipes neomodestus </t>
  </si>
  <si>
    <t xml:space="preserve">Cheumatopsyche  </t>
  </si>
  <si>
    <t xml:space="preserve">Argia sedula  </t>
  </si>
  <si>
    <t>Libellulidae</t>
  </si>
  <si>
    <t>Hemerodromia</t>
  </si>
  <si>
    <t>Paratanytarsus dissimilis</t>
  </si>
  <si>
    <t xml:space="preserve">Polypedilum flavum   </t>
  </si>
  <si>
    <t>Rheotanytarsus sp</t>
  </si>
  <si>
    <t>Rheotanytarsus exiguum</t>
  </si>
  <si>
    <t>Tanytarsini</t>
  </si>
  <si>
    <t>Tanytarsus</t>
  </si>
  <si>
    <t>Polycentropidae</t>
  </si>
  <si>
    <t xml:space="preserve">Microcylloepus pusillus   </t>
  </si>
  <si>
    <t>Eupera cubensis</t>
  </si>
  <si>
    <t>Micromenetes</t>
  </si>
  <si>
    <t>Caecidotea sp</t>
  </si>
  <si>
    <t>Dero sp</t>
  </si>
  <si>
    <t>Neogyractis slossonalis</t>
  </si>
  <si>
    <t>Hetaerina titia</t>
  </si>
  <si>
    <t>Ablabesmyia peleenis</t>
  </si>
  <si>
    <t>Asheum beckae</t>
  </si>
  <si>
    <t>Polypedilum illinoense</t>
  </si>
  <si>
    <t>Polypedilum scalaenum</t>
  </si>
  <si>
    <t>Rheotanytarsus exiguus</t>
  </si>
  <si>
    <t>Amnicola dalli johnsoni</t>
  </si>
  <si>
    <t>Tanytarsus sepp</t>
  </si>
  <si>
    <t>Enochrus</t>
  </si>
  <si>
    <t>Veliidae</t>
  </si>
  <si>
    <t>Chironomidae</t>
  </si>
  <si>
    <t>Simulium sp</t>
  </si>
  <si>
    <t>Oxyethira</t>
  </si>
  <si>
    <t>Micromenetes floridensis</t>
  </si>
  <si>
    <t>Ceratapogonidae sp</t>
  </si>
  <si>
    <t>Orthocladius/Cricotopus</t>
  </si>
  <si>
    <t>Thienemaniella</t>
  </si>
  <si>
    <t>Pisidium sp</t>
  </si>
  <si>
    <t>Palaemonetes paludosus</t>
  </si>
  <si>
    <t>Stylaria lacustris</t>
  </si>
  <si>
    <t>Turbellaria</t>
  </si>
  <si>
    <t>Enallagma weewa</t>
  </si>
  <si>
    <t>Ischnura sp</t>
  </si>
  <si>
    <t>Dicrotendipes simpsoni</t>
  </si>
  <si>
    <t>Orthotrichia</t>
  </si>
  <si>
    <t>Planorbella duryi</t>
  </si>
  <si>
    <t>Bratislavia unidentata</t>
  </si>
  <si>
    <t>Mile's Creek</t>
  </si>
  <si>
    <t>Chironomus sp</t>
  </si>
  <si>
    <t>Chironomus stigmaterus</t>
  </si>
  <si>
    <t>Glyptotendipes sp</t>
  </si>
  <si>
    <t>Goeldichironomus sp</t>
  </si>
  <si>
    <t>Helobdella triserialis</t>
  </si>
  <si>
    <t>Ablabesmyia rhamphe</t>
  </si>
  <si>
    <t>Ceratopogonidae</t>
  </si>
  <si>
    <t>Thienemaniella lobapodema</t>
  </si>
  <si>
    <t>Tanytarsiinae</t>
  </si>
  <si>
    <t>Oecetis sp</t>
  </si>
  <si>
    <t xml:space="preserve">Planorbella </t>
  </si>
  <si>
    <t>Erpobdella sp</t>
  </si>
  <si>
    <t>Ferrisia hendersoni</t>
  </si>
  <si>
    <t>Belostomidae</t>
  </si>
  <si>
    <t>Gloiobdella elongata</t>
  </si>
  <si>
    <t>Planaria</t>
  </si>
  <si>
    <t>Ceratopogonidae sp</t>
  </si>
  <si>
    <t>Tipulidae sp</t>
  </si>
  <si>
    <t>Psychodidae sp</t>
  </si>
  <si>
    <t>Atrichopogon sp</t>
  </si>
  <si>
    <t>Cyrnellus fraternus</t>
  </si>
  <si>
    <t>Hydroptilidae</t>
  </si>
  <si>
    <t>Hydophilidae</t>
  </si>
  <si>
    <t>Rhagovelia sp</t>
  </si>
  <si>
    <t>Procambarus sp</t>
  </si>
  <si>
    <t>Helobdella fusca</t>
  </si>
  <si>
    <t>Helobdella sp</t>
  </si>
  <si>
    <t>Ischnura</t>
  </si>
  <si>
    <t>Paratanytarsus</t>
  </si>
  <si>
    <t>Microcylloepus pusilla</t>
  </si>
  <si>
    <t>Sphaerium</t>
  </si>
  <si>
    <t>Gastropoda</t>
  </si>
  <si>
    <t>Laevapex fuscus</t>
  </si>
  <si>
    <t>Physa sp</t>
  </si>
  <si>
    <t>Pisidium punctiferum</t>
  </si>
  <si>
    <t>Melanoides (Tuberculata)</t>
  </si>
  <si>
    <t>Helobdella trisenalis</t>
  </si>
  <si>
    <t>Turbillaria</t>
  </si>
  <si>
    <t>Peltodytes sp</t>
  </si>
  <si>
    <t>Musculum sp</t>
  </si>
  <si>
    <t>Enallagma durum</t>
  </si>
  <si>
    <t>Polypdilum beckae</t>
  </si>
  <si>
    <t>Paracladopelma undine</t>
  </si>
  <si>
    <t>Paracladopelma sp</t>
  </si>
  <si>
    <t>Polypedilum halterale</t>
  </si>
  <si>
    <t>Pisidium punctivent</t>
  </si>
  <si>
    <t>Sphaeriidae sp</t>
  </si>
  <si>
    <t>Mooreobdula sp</t>
  </si>
  <si>
    <t>Ischnura ramburii</t>
  </si>
  <si>
    <t>Chironomus ochreatus</t>
  </si>
  <si>
    <t>Dicrotendipes modestus</t>
  </si>
  <si>
    <t>Labrundinia becki</t>
  </si>
  <si>
    <t>Parachironomus</t>
  </si>
  <si>
    <t>Oecetis nocturna</t>
  </si>
  <si>
    <t>Sphaeruim sp</t>
  </si>
  <si>
    <t>Aulodrilus pigueti</t>
  </si>
  <si>
    <t>Dero flabelliger</t>
  </si>
  <si>
    <t>Dero furcata</t>
  </si>
  <si>
    <t>Dero nivea</t>
  </si>
  <si>
    <t>Pristina longisoma</t>
  </si>
  <si>
    <t>Pristinella jenkinae</t>
  </si>
  <si>
    <t>Baetis intercalata</t>
  </si>
  <si>
    <t>Orthocladius</t>
  </si>
  <si>
    <t>Polypedilum</t>
  </si>
  <si>
    <t xml:space="preserve"> Polypedilum flavum</t>
  </si>
  <si>
    <t>Erythemis simplicicollis</t>
  </si>
  <si>
    <t>Ablabesmyia sp</t>
  </si>
  <si>
    <t>Pseudochironomus</t>
  </si>
  <si>
    <t>Scirtidae</t>
  </si>
  <si>
    <t>Pristnella osborni</t>
  </si>
  <si>
    <t>Pristina leidyi</t>
  </si>
  <si>
    <t>Elophila obliteralis</t>
  </si>
  <si>
    <t xml:space="preserve">Baetis intercalaris  </t>
  </si>
  <si>
    <t>Enallagma basidens</t>
  </si>
  <si>
    <t>Physella cubensis</t>
  </si>
  <si>
    <t>Eliophila obliteralis</t>
  </si>
  <si>
    <t>Climacia areolaris</t>
  </si>
  <si>
    <t>Sisyra sp</t>
  </si>
  <si>
    <t>Neurocordulia alabamensis</t>
  </si>
  <si>
    <t xml:space="preserve">Polypedilum sp   </t>
  </si>
  <si>
    <t>Ancylidae sp</t>
  </si>
  <si>
    <t>Mesovelia mulsanti</t>
  </si>
  <si>
    <t>Desserobdella phalera</t>
  </si>
  <si>
    <t>SCI</t>
  </si>
  <si>
    <t>HA</t>
  </si>
  <si>
    <t>RPS</t>
  </si>
  <si>
    <t>LVS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</si>
</sst>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Font="1"/>
    <xf numFmtId="2" fontId="0" fillId="0" borderId="0" xfId="0" applyNumberFormat="1" applyFont="1"/>
    <xf numFmtId="14" fontId="0" fillId="0" borderId="0" xfId="0" applyNumberFormat="1" applyFont="1"/>
    <xf numFmtId="1" fontId="0" fillId="0" borderId="0" xfId="0" applyNumberFormat="1" applyFont="1"/>
    <xf numFmtId="0" fontId="0" fillId="0" borderId="0" xfId="1" applyFont="1"/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</cellXfs>
  <cellStyles count="3">
    <cellStyle name="Normal" xfId="0" builtinId="0"/>
    <cellStyle name="Normal 2 2" xfId="2" xr:uid="{7C314DDB-335F-4CE2-9510-FDD8371948C8}"/>
    <cellStyle name="Normal 3 2" xfId="1" xr:uid="{B35D5036-19B0-4B7E-B8C8-5D94BFB749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A4DF-A5C8-49D3-B5E0-8A9478D7DA76}">
  <dimension ref="A1:K182"/>
  <sheetViews>
    <sheetView tabSelected="1" workbookViewId="0">
      <selection activeCell="G9" sqref="G9"/>
    </sheetView>
  </sheetViews>
  <sheetFormatPr defaultRowHeight="15" x14ac:dyDescent="0.25"/>
  <cols>
    <col min="1" max="1" width="16.7109375" bestFit="1" customWidth="1"/>
    <col min="2" max="2" width="5.7109375" bestFit="1" customWidth="1"/>
    <col min="3" max="3" width="7.140625" style="11" bestFit="1" customWidth="1"/>
    <col min="4" max="4" width="10.42578125" style="12" bestFit="1" customWidth="1"/>
    <col min="5" max="5" width="12.7109375" bestFit="1" customWidth="1"/>
    <col min="6" max="6" width="9" style="13" bestFit="1" customWidth="1"/>
    <col min="7" max="7" width="11" bestFit="1" customWidth="1"/>
    <col min="8" max="8" width="11.7109375" bestFit="1" customWidth="1"/>
    <col min="9" max="9" width="17.28515625" bestFit="1" customWidth="1"/>
    <col min="10" max="10" width="18.28515625" bestFit="1" customWidth="1"/>
    <col min="11" max="11" width="10.42578125" style="12" bestFit="1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4" t="s">
        <v>3</v>
      </c>
      <c r="E1" s="4" t="s">
        <v>538</v>
      </c>
      <c r="F1" s="3" t="s">
        <v>539</v>
      </c>
      <c r="G1" s="4" t="s">
        <v>540</v>
      </c>
      <c r="H1" s="20" t="s">
        <v>541</v>
      </c>
      <c r="I1" s="4" t="s">
        <v>4</v>
      </c>
      <c r="J1" s="3" t="s">
        <v>5</v>
      </c>
      <c r="K1" s="14"/>
    </row>
    <row r="2" spans="1:11" x14ac:dyDescent="0.25">
      <c r="A2" s="1" t="s">
        <v>6</v>
      </c>
      <c r="B2" s="2" t="s">
        <v>7</v>
      </c>
      <c r="C2" s="5" t="s">
        <v>8</v>
      </c>
      <c r="D2" s="12" t="s">
        <v>161</v>
      </c>
      <c r="E2" s="6">
        <v>37</v>
      </c>
      <c r="F2" s="1">
        <v>73</v>
      </c>
      <c r="G2" s="6"/>
      <c r="H2" s="21"/>
      <c r="I2" s="1">
        <v>30</v>
      </c>
      <c r="J2" s="1">
        <f>AVERAGE(0,3)</f>
        <v>1.5</v>
      </c>
    </row>
    <row r="3" spans="1:11" x14ac:dyDescent="0.25">
      <c r="A3" s="1" t="s">
        <v>6</v>
      </c>
      <c r="B3" s="2" t="s">
        <v>7</v>
      </c>
      <c r="C3" s="5" t="s">
        <v>8</v>
      </c>
      <c r="D3" s="12" t="s">
        <v>162</v>
      </c>
      <c r="E3" s="6">
        <v>23</v>
      </c>
      <c r="F3" s="1">
        <v>98</v>
      </c>
      <c r="G3" s="6"/>
      <c r="H3" s="21"/>
      <c r="I3" s="1"/>
      <c r="J3" s="1"/>
    </row>
    <row r="4" spans="1:11" x14ac:dyDescent="0.25">
      <c r="A4" s="1" t="s">
        <v>6</v>
      </c>
      <c r="B4" s="2" t="s">
        <v>9</v>
      </c>
      <c r="C4" s="5" t="s">
        <v>8</v>
      </c>
      <c r="D4" s="12" t="s">
        <v>163</v>
      </c>
      <c r="E4" s="6">
        <v>25</v>
      </c>
      <c r="F4" s="1">
        <v>104</v>
      </c>
      <c r="G4" s="6"/>
      <c r="H4" s="21"/>
      <c r="I4" s="1">
        <v>37</v>
      </c>
      <c r="J4" s="1">
        <v>0</v>
      </c>
    </row>
    <row r="5" spans="1:11" x14ac:dyDescent="0.25">
      <c r="A5" s="1" t="s">
        <v>6</v>
      </c>
      <c r="B5" s="2" t="s">
        <v>9</v>
      </c>
      <c r="C5" s="5" t="s">
        <v>8</v>
      </c>
      <c r="D5" s="12" t="s">
        <v>162</v>
      </c>
      <c r="E5" s="6">
        <v>49</v>
      </c>
      <c r="F5" s="1">
        <v>92</v>
      </c>
      <c r="G5" s="6"/>
      <c r="H5" s="21"/>
      <c r="I5" s="1"/>
      <c r="J5" s="1"/>
    </row>
    <row r="6" spans="1:11" x14ac:dyDescent="0.25">
      <c r="A6" s="1" t="s">
        <v>6</v>
      </c>
      <c r="B6" s="2" t="s">
        <v>9</v>
      </c>
      <c r="C6" s="5" t="s">
        <v>8</v>
      </c>
      <c r="D6" s="12" t="s">
        <v>164</v>
      </c>
      <c r="E6" s="6">
        <v>33</v>
      </c>
      <c r="F6" s="1">
        <v>80</v>
      </c>
      <c r="G6" s="6"/>
      <c r="H6" s="21"/>
      <c r="I6" s="1">
        <v>32.5</v>
      </c>
      <c r="J6" s="1">
        <v>0</v>
      </c>
    </row>
    <row r="7" spans="1:11" x14ac:dyDescent="0.25">
      <c r="A7" s="1" t="s">
        <v>6</v>
      </c>
      <c r="B7" s="2" t="s">
        <v>9</v>
      </c>
      <c r="C7" s="5" t="s">
        <v>8</v>
      </c>
      <c r="D7" s="12" t="s">
        <v>165</v>
      </c>
      <c r="E7" s="6">
        <v>32</v>
      </c>
      <c r="F7" s="1">
        <v>84</v>
      </c>
      <c r="G7" s="6"/>
      <c r="H7" s="21"/>
      <c r="I7" s="1"/>
      <c r="J7" s="1">
        <v>0</v>
      </c>
    </row>
    <row r="8" spans="1:11" x14ac:dyDescent="0.25">
      <c r="A8" s="1" t="s">
        <v>6</v>
      </c>
      <c r="B8" s="2" t="s">
        <v>9</v>
      </c>
      <c r="C8" s="5" t="s">
        <v>8</v>
      </c>
      <c r="D8" s="12" t="s">
        <v>166</v>
      </c>
      <c r="E8" s="6">
        <v>27</v>
      </c>
      <c r="F8" s="1">
        <v>75</v>
      </c>
      <c r="G8" s="6"/>
      <c r="H8" s="21"/>
      <c r="I8" s="1">
        <v>36</v>
      </c>
      <c r="J8" s="1">
        <v>0</v>
      </c>
    </row>
    <row r="9" spans="1:11" x14ac:dyDescent="0.25">
      <c r="A9" s="1" t="s">
        <v>6</v>
      </c>
      <c r="B9" s="2" t="s">
        <v>9</v>
      </c>
      <c r="C9" s="5" t="s">
        <v>8</v>
      </c>
      <c r="D9" s="12" t="s">
        <v>167</v>
      </c>
      <c r="E9" s="6">
        <v>45</v>
      </c>
      <c r="F9" s="1">
        <v>79</v>
      </c>
      <c r="G9" s="6"/>
      <c r="H9" s="21"/>
      <c r="I9" s="1"/>
      <c r="J9" s="1"/>
    </row>
    <row r="10" spans="1:11" x14ac:dyDescent="0.25">
      <c r="A10" s="1" t="s">
        <v>6</v>
      </c>
      <c r="B10" s="2" t="s">
        <v>9</v>
      </c>
      <c r="C10" s="5" t="s">
        <v>8</v>
      </c>
      <c r="D10" s="12" t="s">
        <v>168</v>
      </c>
      <c r="E10" s="6">
        <v>20</v>
      </c>
      <c r="F10" s="1">
        <v>78</v>
      </c>
      <c r="G10" s="6"/>
      <c r="H10" s="21"/>
      <c r="I10" s="1"/>
      <c r="J10" s="1">
        <v>0</v>
      </c>
    </row>
    <row r="11" spans="1:11" x14ac:dyDescent="0.25">
      <c r="A11" s="1" t="s">
        <v>6</v>
      </c>
      <c r="B11" s="2" t="s">
        <v>9</v>
      </c>
      <c r="C11" s="5" t="s">
        <v>8</v>
      </c>
      <c r="D11" s="12" t="s">
        <v>169</v>
      </c>
      <c r="E11" s="6"/>
      <c r="F11" s="1">
        <v>79</v>
      </c>
      <c r="G11" s="6"/>
      <c r="H11" s="21"/>
      <c r="I11" s="1"/>
      <c r="J11" s="1"/>
    </row>
    <row r="12" spans="1:11" x14ac:dyDescent="0.25">
      <c r="A12" s="1" t="s">
        <v>6</v>
      </c>
      <c r="B12" s="2" t="s">
        <v>9</v>
      </c>
      <c r="C12" s="5" t="s">
        <v>8</v>
      </c>
      <c r="D12" s="12" t="s">
        <v>170</v>
      </c>
      <c r="E12" s="6">
        <v>40</v>
      </c>
      <c r="F12" s="1">
        <v>71</v>
      </c>
      <c r="G12" s="6">
        <v>99</v>
      </c>
      <c r="H12" s="21">
        <v>0.73</v>
      </c>
      <c r="I12" s="1"/>
      <c r="J12" s="1">
        <v>0</v>
      </c>
    </row>
    <row r="13" spans="1:11" x14ac:dyDescent="0.25">
      <c r="A13" s="1" t="s">
        <v>10</v>
      </c>
      <c r="B13" s="2" t="s">
        <v>11</v>
      </c>
      <c r="C13" s="5">
        <v>1627</v>
      </c>
      <c r="D13" s="12" t="s">
        <v>171</v>
      </c>
      <c r="E13" s="7">
        <v>36</v>
      </c>
      <c r="F13" s="1">
        <v>110</v>
      </c>
      <c r="G13" s="7"/>
      <c r="H13" s="22"/>
      <c r="I13" s="5">
        <v>36.5</v>
      </c>
      <c r="J13" s="1">
        <f>AVERAGE(7,0)</f>
        <v>3.5</v>
      </c>
    </row>
    <row r="14" spans="1:11" x14ac:dyDescent="0.25">
      <c r="A14" s="1" t="s">
        <v>10</v>
      </c>
      <c r="B14" s="2" t="s">
        <v>11</v>
      </c>
      <c r="C14" s="5">
        <v>1627</v>
      </c>
      <c r="D14" s="12" t="s">
        <v>172</v>
      </c>
      <c r="E14" s="7">
        <v>37</v>
      </c>
      <c r="F14" s="1">
        <v>98</v>
      </c>
      <c r="G14" s="7"/>
      <c r="H14" s="22"/>
      <c r="I14" s="5"/>
      <c r="J14" s="1"/>
    </row>
    <row r="15" spans="1:11" x14ac:dyDescent="0.25">
      <c r="A15" s="1" t="s">
        <v>10</v>
      </c>
      <c r="B15" s="2" t="s">
        <v>12</v>
      </c>
      <c r="C15" s="5">
        <v>1627</v>
      </c>
      <c r="D15" s="12" t="s">
        <v>173</v>
      </c>
      <c r="E15" s="7">
        <v>12</v>
      </c>
      <c r="F15" s="1">
        <v>81</v>
      </c>
      <c r="G15" s="7"/>
      <c r="H15" s="22"/>
      <c r="I15" s="5"/>
      <c r="J15" s="1">
        <v>0</v>
      </c>
    </row>
    <row r="16" spans="1:11" x14ac:dyDescent="0.25">
      <c r="A16" s="1" t="s">
        <v>13</v>
      </c>
      <c r="B16" s="2" t="s">
        <v>14</v>
      </c>
      <c r="C16" s="5" t="s">
        <v>15</v>
      </c>
      <c r="D16" s="12" t="s">
        <v>174</v>
      </c>
      <c r="E16" s="6">
        <v>34</v>
      </c>
      <c r="F16" s="1">
        <v>104</v>
      </c>
      <c r="G16" s="6"/>
      <c r="H16" s="21"/>
      <c r="I16" s="1">
        <v>29</v>
      </c>
      <c r="J16" s="1">
        <f>AVERAGE(0,13)</f>
        <v>6.5</v>
      </c>
    </row>
    <row r="17" spans="1:10" x14ac:dyDescent="0.25">
      <c r="A17" s="1" t="s">
        <v>13</v>
      </c>
      <c r="B17" s="2" t="s">
        <v>14</v>
      </c>
      <c r="C17" s="5" t="s">
        <v>15</v>
      </c>
      <c r="D17" s="12" t="s">
        <v>175</v>
      </c>
      <c r="E17" s="6">
        <v>24</v>
      </c>
      <c r="F17" s="1">
        <v>80</v>
      </c>
      <c r="G17" s="6"/>
      <c r="H17" s="21"/>
      <c r="I17" s="1"/>
      <c r="J17" s="1"/>
    </row>
    <row r="18" spans="1:10" x14ac:dyDescent="0.25">
      <c r="A18" s="1" t="s">
        <v>13</v>
      </c>
      <c r="B18" s="2" t="s">
        <v>14</v>
      </c>
      <c r="C18" s="5" t="s">
        <v>15</v>
      </c>
      <c r="D18" s="12" t="s">
        <v>176</v>
      </c>
      <c r="E18" s="6">
        <v>23</v>
      </c>
      <c r="F18" s="1">
        <v>54</v>
      </c>
      <c r="G18" s="6"/>
      <c r="H18" s="21"/>
      <c r="I18" s="1">
        <v>20.5</v>
      </c>
      <c r="J18" s="1">
        <f>AVERAGE(0,7)</f>
        <v>3.5</v>
      </c>
    </row>
    <row r="19" spans="1:10" x14ac:dyDescent="0.25">
      <c r="A19" s="1" t="s">
        <v>13</v>
      </c>
      <c r="B19" s="2" t="s">
        <v>14</v>
      </c>
      <c r="C19" s="5" t="s">
        <v>15</v>
      </c>
      <c r="D19" s="12" t="s">
        <v>177</v>
      </c>
      <c r="E19" s="6">
        <v>18</v>
      </c>
      <c r="F19" s="1">
        <v>75</v>
      </c>
      <c r="G19" s="6"/>
      <c r="H19" s="21"/>
      <c r="I19" s="1"/>
      <c r="J19" s="1"/>
    </row>
    <row r="20" spans="1:10" x14ac:dyDescent="0.25">
      <c r="A20" s="1" t="s">
        <v>13</v>
      </c>
      <c r="B20" s="2" t="s">
        <v>14</v>
      </c>
      <c r="C20" s="5" t="s">
        <v>15</v>
      </c>
      <c r="D20" s="12" t="s">
        <v>178</v>
      </c>
      <c r="E20" s="6">
        <v>48</v>
      </c>
      <c r="F20" s="1">
        <v>71</v>
      </c>
      <c r="G20" s="6"/>
      <c r="H20" s="21"/>
      <c r="I20" s="1">
        <v>44</v>
      </c>
      <c r="J20" s="1">
        <v>0</v>
      </c>
    </row>
    <row r="21" spans="1:10" x14ac:dyDescent="0.25">
      <c r="A21" s="1" t="s">
        <v>13</v>
      </c>
      <c r="B21" s="2" t="s">
        <v>14</v>
      </c>
      <c r="C21" s="5" t="s">
        <v>15</v>
      </c>
      <c r="D21" s="12" t="s">
        <v>179</v>
      </c>
      <c r="E21" s="6">
        <v>40</v>
      </c>
      <c r="F21" s="1">
        <v>55</v>
      </c>
      <c r="G21" s="6"/>
      <c r="H21" s="21"/>
      <c r="I21" s="1"/>
      <c r="J21" s="1"/>
    </row>
    <row r="22" spans="1:10" x14ac:dyDescent="0.25">
      <c r="A22" s="1" t="s">
        <v>13</v>
      </c>
      <c r="B22" s="2" t="s">
        <v>14</v>
      </c>
      <c r="C22" s="5" t="s">
        <v>15</v>
      </c>
      <c r="D22" s="12" t="s">
        <v>180</v>
      </c>
      <c r="E22" s="6">
        <v>53</v>
      </c>
      <c r="F22" s="1">
        <v>72</v>
      </c>
      <c r="G22" s="6"/>
      <c r="H22" s="21"/>
      <c r="I22" s="1"/>
      <c r="J22" s="1">
        <f>AVERAGE(0,3)</f>
        <v>1.5</v>
      </c>
    </row>
    <row r="23" spans="1:10" x14ac:dyDescent="0.25">
      <c r="A23" s="1" t="s">
        <v>13</v>
      </c>
      <c r="B23" s="2" t="s">
        <v>14</v>
      </c>
      <c r="C23" s="5" t="s">
        <v>15</v>
      </c>
      <c r="D23" s="12" t="s">
        <v>181</v>
      </c>
      <c r="E23" s="6"/>
      <c r="F23" s="1">
        <v>61</v>
      </c>
      <c r="G23" s="6"/>
      <c r="H23" s="21"/>
      <c r="I23" s="1"/>
      <c r="J23" s="1"/>
    </row>
    <row r="24" spans="1:10" x14ac:dyDescent="0.25">
      <c r="A24" s="1" t="s">
        <v>13</v>
      </c>
      <c r="B24" s="2" t="s">
        <v>14</v>
      </c>
      <c r="C24" s="5" t="s">
        <v>15</v>
      </c>
      <c r="D24" s="12" t="s">
        <v>182</v>
      </c>
      <c r="E24" s="6">
        <v>38</v>
      </c>
      <c r="F24" s="1">
        <v>68</v>
      </c>
      <c r="G24" s="6"/>
      <c r="H24" s="21"/>
      <c r="I24" s="1"/>
      <c r="J24" s="1">
        <v>2</v>
      </c>
    </row>
    <row r="25" spans="1:10" x14ac:dyDescent="0.25">
      <c r="A25" s="1" t="s">
        <v>16</v>
      </c>
      <c r="B25" s="2" t="s">
        <v>17</v>
      </c>
      <c r="C25" s="5">
        <v>1529</v>
      </c>
      <c r="D25" s="12" t="s">
        <v>183</v>
      </c>
      <c r="E25" s="6">
        <v>44</v>
      </c>
      <c r="F25" s="1">
        <v>71</v>
      </c>
      <c r="G25" s="6"/>
      <c r="H25" s="21"/>
      <c r="I25" s="1">
        <v>40.5</v>
      </c>
      <c r="J25" s="1">
        <f>AVERAGE(6.6,6)</f>
        <v>6.3</v>
      </c>
    </row>
    <row r="26" spans="1:10" x14ac:dyDescent="0.25">
      <c r="A26" s="1" t="s">
        <v>16</v>
      </c>
      <c r="B26" s="2" t="s">
        <v>17</v>
      </c>
      <c r="C26" s="5">
        <v>1529</v>
      </c>
      <c r="D26" s="12" t="s">
        <v>184</v>
      </c>
      <c r="E26" s="6">
        <v>37</v>
      </c>
      <c r="F26" s="1">
        <v>77</v>
      </c>
      <c r="G26" s="6"/>
      <c r="H26" s="21"/>
      <c r="I26" s="1"/>
      <c r="J26" s="1"/>
    </row>
    <row r="27" spans="1:10" x14ac:dyDescent="0.25">
      <c r="A27" s="1" t="s">
        <v>16</v>
      </c>
      <c r="B27" s="2" t="s">
        <v>17</v>
      </c>
      <c r="C27" s="5">
        <v>1529</v>
      </c>
      <c r="D27" s="12" t="s">
        <v>185</v>
      </c>
      <c r="E27" s="6">
        <v>21</v>
      </c>
      <c r="F27" s="1">
        <v>78</v>
      </c>
      <c r="G27" s="6"/>
      <c r="H27" s="21"/>
      <c r="I27" s="1">
        <v>27.5</v>
      </c>
      <c r="J27" s="1">
        <f>AVERAGE(12.5,16.7)</f>
        <v>14.6</v>
      </c>
    </row>
    <row r="28" spans="1:10" x14ac:dyDescent="0.25">
      <c r="A28" s="1" t="s">
        <v>16</v>
      </c>
      <c r="B28" s="2" t="s">
        <v>17</v>
      </c>
      <c r="C28" s="5">
        <v>1529</v>
      </c>
      <c r="D28" s="12" t="s">
        <v>186</v>
      </c>
      <c r="E28" s="6">
        <v>34</v>
      </c>
      <c r="F28" s="1">
        <v>79</v>
      </c>
      <c r="G28" s="6"/>
      <c r="H28" s="21"/>
      <c r="I28" s="1"/>
      <c r="J28" s="1"/>
    </row>
    <row r="29" spans="1:10" x14ac:dyDescent="0.25">
      <c r="A29" s="1" t="s">
        <v>16</v>
      </c>
      <c r="B29" s="2" t="s">
        <v>17</v>
      </c>
      <c r="C29" s="5">
        <v>1529</v>
      </c>
      <c r="D29" s="12" t="s">
        <v>187</v>
      </c>
      <c r="E29" s="6">
        <v>38</v>
      </c>
      <c r="F29" s="1">
        <v>85</v>
      </c>
      <c r="G29" s="6"/>
      <c r="H29" s="21"/>
      <c r="I29" s="1">
        <v>39.5</v>
      </c>
      <c r="J29" s="1">
        <f>AVERAGE(4,0)</f>
        <v>2</v>
      </c>
    </row>
    <row r="30" spans="1:10" x14ac:dyDescent="0.25">
      <c r="A30" s="1" t="s">
        <v>16</v>
      </c>
      <c r="B30" s="2" t="s">
        <v>17</v>
      </c>
      <c r="C30" s="5">
        <v>1529</v>
      </c>
      <c r="D30" s="12" t="s">
        <v>188</v>
      </c>
      <c r="E30" s="6">
        <v>41</v>
      </c>
      <c r="F30" s="1">
        <v>79</v>
      </c>
      <c r="G30" s="6"/>
      <c r="H30" s="21"/>
      <c r="I30" s="1"/>
      <c r="J30" s="1"/>
    </row>
    <row r="31" spans="1:10" x14ac:dyDescent="0.25">
      <c r="A31" s="1" t="s">
        <v>16</v>
      </c>
      <c r="B31" s="2" t="s">
        <v>17</v>
      </c>
      <c r="C31" s="5">
        <v>1529</v>
      </c>
      <c r="D31" s="12" t="s">
        <v>168</v>
      </c>
      <c r="E31" s="6">
        <v>46</v>
      </c>
      <c r="F31" s="1">
        <v>80</v>
      </c>
      <c r="G31" s="6"/>
      <c r="H31" s="21"/>
      <c r="I31" s="1">
        <v>37</v>
      </c>
      <c r="J31" s="1">
        <v>0</v>
      </c>
    </row>
    <row r="32" spans="1:10" x14ac:dyDescent="0.25">
      <c r="A32" s="1" t="s">
        <v>16</v>
      </c>
      <c r="B32" s="2" t="s">
        <v>17</v>
      </c>
      <c r="C32" s="5">
        <v>1529</v>
      </c>
      <c r="D32" s="12" t="s">
        <v>181</v>
      </c>
      <c r="E32" s="6">
        <v>28</v>
      </c>
      <c r="F32" s="1">
        <v>68</v>
      </c>
      <c r="G32" s="6"/>
      <c r="H32" s="21"/>
      <c r="I32" s="1"/>
      <c r="J32" s="1"/>
    </row>
    <row r="33" spans="1:10" x14ac:dyDescent="0.25">
      <c r="A33" s="1" t="s">
        <v>16</v>
      </c>
      <c r="B33" s="2" t="s">
        <v>17</v>
      </c>
      <c r="C33" s="5">
        <v>1529</v>
      </c>
      <c r="D33" s="12" t="s">
        <v>189</v>
      </c>
      <c r="E33" s="6">
        <v>55</v>
      </c>
      <c r="F33" s="1">
        <v>64</v>
      </c>
      <c r="G33" s="6"/>
      <c r="H33" s="21"/>
      <c r="I33" s="1"/>
      <c r="J33" s="1">
        <v>50</v>
      </c>
    </row>
    <row r="34" spans="1:10" x14ac:dyDescent="0.25">
      <c r="A34" s="1" t="s">
        <v>18</v>
      </c>
      <c r="B34" s="2" t="s">
        <v>19</v>
      </c>
      <c r="C34" s="5">
        <v>1574</v>
      </c>
      <c r="D34" s="12" t="s">
        <v>190</v>
      </c>
      <c r="E34" s="6">
        <v>59</v>
      </c>
      <c r="F34" s="1">
        <v>110</v>
      </c>
      <c r="G34" s="6"/>
      <c r="H34" s="21"/>
      <c r="I34" s="1">
        <v>61</v>
      </c>
      <c r="J34" s="1">
        <f>AVERAGE(10,0)</f>
        <v>5</v>
      </c>
    </row>
    <row r="35" spans="1:10" x14ac:dyDescent="0.25">
      <c r="A35" s="1" t="s">
        <v>18</v>
      </c>
      <c r="B35" s="2" t="s">
        <v>19</v>
      </c>
      <c r="C35" s="5">
        <v>1574</v>
      </c>
      <c r="D35" s="12" t="s">
        <v>191</v>
      </c>
      <c r="E35" s="6">
        <v>63</v>
      </c>
      <c r="F35" s="1">
        <v>119</v>
      </c>
      <c r="G35" s="6"/>
      <c r="H35" s="21"/>
      <c r="I35" s="1"/>
      <c r="J35" s="1"/>
    </row>
    <row r="36" spans="1:10" x14ac:dyDescent="0.25">
      <c r="A36" s="1" t="s">
        <v>18</v>
      </c>
      <c r="B36" s="2" t="s">
        <v>19</v>
      </c>
      <c r="C36" s="5">
        <v>1574</v>
      </c>
      <c r="D36" s="12" t="s">
        <v>192</v>
      </c>
      <c r="E36" s="6">
        <v>42</v>
      </c>
      <c r="F36" s="1">
        <v>114</v>
      </c>
      <c r="G36" s="6"/>
      <c r="H36" s="21"/>
      <c r="I36" s="1">
        <v>43.5</v>
      </c>
      <c r="J36" s="1">
        <v>0</v>
      </c>
    </row>
    <row r="37" spans="1:10" x14ac:dyDescent="0.25">
      <c r="A37" s="1" t="s">
        <v>18</v>
      </c>
      <c r="B37" s="2" t="s">
        <v>19</v>
      </c>
      <c r="C37" s="5">
        <v>1574</v>
      </c>
      <c r="D37" s="12" t="s">
        <v>193</v>
      </c>
      <c r="E37" s="6">
        <v>45</v>
      </c>
      <c r="F37" s="1">
        <v>125</v>
      </c>
      <c r="G37" s="6"/>
      <c r="H37" s="21"/>
      <c r="I37" s="1"/>
      <c r="J37" s="1"/>
    </row>
    <row r="38" spans="1:10" x14ac:dyDescent="0.25">
      <c r="A38" s="1" t="s">
        <v>18</v>
      </c>
      <c r="B38" s="2" t="s">
        <v>19</v>
      </c>
      <c r="C38" s="5">
        <v>1574</v>
      </c>
      <c r="D38" s="12" t="s">
        <v>194</v>
      </c>
      <c r="E38" s="6">
        <v>30</v>
      </c>
      <c r="F38" s="1"/>
      <c r="G38" s="6"/>
      <c r="H38" s="21"/>
      <c r="I38" s="1"/>
      <c r="J38" s="1">
        <v>0</v>
      </c>
    </row>
    <row r="39" spans="1:10" x14ac:dyDescent="0.25">
      <c r="A39" s="1" t="s">
        <v>18</v>
      </c>
      <c r="B39" s="2" t="s">
        <v>19</v>
      </c>
      <c r="C39" s="5">
        <v>1574</v>
      </c>
      <c r="D39" s="12" t="s">
        <v>195</v>
      </c>
      <c r="E39" s="6">
        <v>36</v>
      </c>
      <c r="F39" s="1"/>
      <c r="G39" s="6"/>
      <c r="H39" s="21"/>
      <c r="I39" s="1"/>
      <c r="J39" s="1"/>
    </row>
    <row r="40" spans="1:10" x14ac:dyDescent="0.25">
      <c r="A40" s="1" t="s">
        <v>18</v>
      </c>
      <c r="B40" s="2" t="s">
        <v>19</v>
      </c>
      <c r="C40" s="5">
        <v>1574</v>
      </c>
      <c r="D40" s="12" t="s">
        <v>196</v>
      </c>
      <c r="E40" s="6">
        <v>50</v>
      </c>
      <c r="F40" s="1">
        <v>111</v>
      </c>
      <c r="G40" s="6"/>
      <c r="H40" s="21"/>
      <c r="I40" s="1">
        <v>43</v>
      </c>
      <c r="J40" s="5">
        <v>0</v>
      </c>
    </row>
    <row r="41" spans="1:10" x14ac:dyDescent="0.25">
      <c r="A41" s="1" t="s">
        <v>18</v>
      </c>
      <c r="B41" s="2" t="s">
        <v>19</v>
      </c>
      <c r="C41" s="5">
        <v>1574</v>
      </c>
      <c r="D41" s="12" t="s">
        <v>197</v>
      </c>
      <c r="E41" s="6">
        <v>36</v>
      </c>
      <c r="F41" s="1">
        <v>107</v>
      </c>
      <c r="G41" s="6"/>
      <c r="H41" s="21"/>
      <c r="I41" s="1"/>
      <c r="J41" s="5"/>
    </row>
    <row r="42" spans="1:10" x14ac:dyDescent="0.25">
      <c r="A42" s="1" t="s">
        <v>18</v>
      </c>
      <c r="B42" s="2" t="s">
        <v>19</v>
      </c>
      <c r="C42" s="5">
        <v>1574</v>
      </c>
      <c r="D42" s="12" t="s">
        <v>198</v>
      </c>
      <c r="E42" s="6">
        <v>45</v>
      </c>
      <c r="F42" s="1">
        <v>109</v>
      </c>
      <c r="G42" s="6"/>
      <c r="H42" s="21"/>
      <c r="I42" s="1">
        <v>42</v>
      </c>
      <c r="J42" s="5">
        <f>AVERAGE(0,3)</f>
        <v>1.5</v>
      </c>
    </row>
    <row r="43" spans="1:10" x14ac:dyDescent="0.25">
      <c r="A43" s="1" t="s">
        <v>18</v>
      </c>
      <c r="B43" s="2" t="s">
        <v>19</v>
      </c>
      <c r="C43" s="5">
        <v>1574</v>
      </c>
      <c r="D43" s="12" t="s">
        <v>199</v>
      </c>
      <c r="E43" s="6">
        <v>39</v>
      </c>
      <c r="F43" s="1">
        <v>112</v>
      </c>
      <c r="G43" s="6"/>
      <c r="H43" s="21"/>
      <c r="I43" s="1"/>
      <c r="J43" s="5"/>
    </row>
    <row r="44" spans="1:10" x14ac:dyDescent="0.25">
      <c r="A44" s="1" t="s">
        <v>18</v>
      </c>
      <c r="B44" s="2" t="s">
        <v>19</v>
      </c>
      <c r="C44" s="5">
        <v>1574</v>
      </c>
      <c r="D44" s="12" t="s">
        <v>200</v>
      </c>
      <c r="E44" s="6">
        <v>49</v>
      </c>
      <c r="F44" s="1">
        <v>101</v>
      </c>
      <c r="G44" s="6"/>
      <c r="H44" s="21"/>
      <c r="I44" s="1"/>
      <c r="J44" s="5">
        <v>0</v>
      </c>
    </row>
    <row r="45" spans="1:10" x14ac:dyDescent="0.25">
      <c r="A45" s="1" t="s">
        <v>18</v>
      </c>
      <c r="B45" s="2" t="s">
        <v>19</v>
      </c>
      <c r="C45" s="5">
        <v>1574</v>
      </c>
      <c r="D45" s="12" t="s">
        <v>201</v>
      </c>
      <c r="E45" s="6"/>
      <c r="F45" s="1">
        <v>94</v>
      </c>
      <c r="G45" s="6"/>
      <c r="H45" s="21"/>
      <c r="I45" s="1"/>
      <c r="J45" s="5"/>
    </row>
    <row r="46" spans="1:10" x14ac:dyDescent="0.25">
      <c r="A46" s="1" t="s">
        <v>18</v>
      </c>
      <c r="B46" s="2" t="s">
        <v>19</v>
      </c>
      <c r="C46" s="5">
        <v>1574</v>
      </c>
      <c r="D46" s="12" t="s">
        <v>189</v>
      </c>
      <c r="E46" s="6">
        <v>56</v>
      </c>
      <c r="F46" s="1">
        <v>109</v>
      </c>
      <c r="G46" s="6">
        <v>99</v>
      </c>
      <c r="H46" s="21">
        <v>1.1100000000000001</v>
      </c>
      <c r="I46" s="1"/>
      <c r="J46" s="5">
        <v>8</v>
      </c>
    </row>
    <row r="47" spans="1:10" x14ac:dyDescent="0.25">
      <c r="A47" s="1" t="s">
        <v>18</v>
      </c>
      <c r="B47" s="2" t="s">
        <v>20</v>
      </c>
      <c r="C47" s="5">
        <v>1574</v>
      </c>
      <c r="D47" s="12" t="s">
        <v>192</v>
      </c>
      <c r="E47" s="6">
        <v>42</v>
      </c>
      <c r="F47" s="1"/>
      <c r="G47" s="6"/>
      <c r="H47" s="21"/>
      <c r="I47" s="1"/>
      <c r="J47" s="5">
        <v>0</v>
      </c>
    </row>
    <row r="48" spans="1:10" x14ac:dyDescent="0.25">
      <c r="A48" s="1" t="s">
        <v>18</v>
      </c>
      <c r="B48" s="2" t="s">
        <v>20</v>
      </c>
      <c r="C48" s="5">
        <v>1574</v>
      </c>
      <c r="D48" s="12" t="s">
        <v>193</v>
      </c>
      <c r="E48" s="6">
        <v>36</v>
      </c>
      <c r="F48" s="1"/>
      <c r="G48" s="6"/>
      <c r="H48" s="21"/>
      <c r="I48" s="1"/>
      <c r="J48" s="5"/>
    </row>
    <row r="49" spans="1:10" x14ac:dyDescent="0.25">
      <c r="A49" s="1" t="s">
        <v>18</v>
      </c>
      <c r="B49" s="2" t="s">
        <v>20</v>
      </c>
      <c r="C49" s="5">
        <v>1574</v>
      </c>
      <c r="D49" s="12" t="s">
        <v>202</v>
      </c>
      <c r="E49" s="6">
        <v>56</v>
      </c>
      <c r="F49" s="1"/>
      <c r="G49" s="6"/>
      <c r="H49" s="21"/>
      <c r="I49" s="1"/>
      <c r="J49" s="5">
        <v>0</v>
      </c>
    </row>
    <row r="50" spans="1:10" x14ac:dyDescent="0.25">
      <c r="A50" s="1" t="s">
        <v>18</v>
      </c>
      <c r="B50" s="2" t="s">
        <v>20</v>
      </c>
      <c r="C50" s="5">
        <v>1574</v>
      </c>
      <c r="D50" s="12" t="s">
        <v>203</v>
      </c>
      <c r="E50" s="6">
        <v>21</v>
      </c>
      <c r="F50" s="1"/>
      <c r="G50" s="6"/>
      <c r="H50" s="21"/>
      <c r="I50" s="1"/>
      <c r="J50" s="5">
        <v>0</v>
      </c>
    </row>
    <row r="51" spans="1:10" x14ac:dyDescent="0.25">
      <c r="A51" s="1" t="s">
        <v>18</v>
      </c>
      <c r="B51" s="2" t="s">
        <v>20</v>
      </c>
      <c r="C51" s="5">
        <v>1574</v>
      </c>
      <c r="D51" s="12" t="s">
        <v>195</v>
      </c>
      <c r="E51" s="6">
        <v>36</v>
      </c>
      <c r="F51" s="1"/>
      <c r="G51" s="6"/>
      <c r="H51" s="21"/>
      <c r="I51" s="1"/>
      <c r="J51" s="5">
        <v>0</v>
      </c>
    </row>
    <row r="52" spans="1:10" x14ac:dyDescent="0.25">
      <c r="A52" s="1" t="s">
        <v>21</v>
      </c>
      <c r="B52" s="2" t="s">
        <v>22</v>
      </c>
      <c r="C52" s="1">
        <v>1474</v>
      </c>
      <c r="D52" s="12" t="s">
        <v>204</v>
      </c>
      <c r="E52" s="6">
        <v>48</v>
      </c>
      <c r="F52" s="1">
        <v>119</v>
      </c>
      <c r="G52" s="6"/>
      <c r="H52" s="21"/>
      <c r="I52" s="1"/>
      <c r="J52" s="5">
        <v>0</v>
      </c>
    </row>
    <row r="53" spans="1:10" x14ac:dyDescent="0.25">
      <c r="A53" s="1" t="s">
        <v>21</v>
      </c>
      <c r="B53" s="2" t="s">
        <v>23</v>
      </c>
      <c r="C53" s="5">
        <v>1474</v>
      </c>
      <c r="D53" s="12" t="s">
        <v>205</v>
      </c>
      <c r="E53" s="6">
        <v>54</v>
      </c>
      <c r="F53" s="1">
        <v>138</v>
      </c>
      <c r="G53" s="6"/>
      <c r="H53" s="21"/>
      <c r="I53" s="1"/>
      <c r="J53" s="1">
        <v>0</v>
      </c>
    </row>
    <row r="54" spans="1:10" x14ac:dyDescent="0.25">
      <c r="A54" s="1" t="s">
        <v>21</v>
      </c>
      <c r="B54" s="2" t="s">
        <v>23</v>
      </c>
      <c r="C54" s="5">
        <v>1474</v>
      </c>
      <c r="D54" s="12" t="s">
        <v>206</v>
      </c>
      <c r="E54" s="6">
        <v>49</v>
      </c>
      <c r="F54" s="1">
        <v>140</v>
      </c>
      <c r="G54" s="6"/>
      <c r="H54" s="21"/>
      <c r="I54" s="1"/>
      <c r="J54" s="1">
        <v>0</v>
      </c>
    </row>
    <row r="55" spans="1:10" x14ac:dyDescent="0.25">
      <c r="A55" s="1" t="s">
        <v>21</v>
      </c>
      <c r="B55" s="2" t="s">
        <v>23</v>
      </c>
      <c r="C55" s="5">
        <v>1474</v>
      </c>
      <c r="D55" s="12" t="s">
        <v>207</v>
      </c>
      <c r="E55" s="6">
        <v>38</v>
      </c>
      <c r="F55" s="1">
        <v>139</v>
      </c>
      <c r="G55" s="6"/>
      <c r="H55" s="21"/>
      <c r="I55" s="1"/>
      <c r="J55" s="5">
        <v>0</v>
      </c>
    </row>
    <row r="56" spans="1:10" x14ac:dyDescent="0.25">
      <c r="A56" s="1" t="s">
        <v>21</v>
      </c>
      <c r="B56" s="2" t="s">
        <v>23</v>
      </c>
      <c r="C56" s="5">
        <v>1474</v>
      </c>
      <c r="D56" s="12" t="s">
        <v>208</v>
      </c>
      <c r="E56" s="6">
        <v>62</v>
      </c>
      <c r="F56" s="1">
        <v>141</v>
      </c>
      <c r="G56" s="6"/>
      <c r="H56" s="21"/>
      <c r="I56" s="1"/>
      <c r="J56" s="5">
        <v>0</v>
      </c>
    </row>
    <row r="57" spans="1:10" x14ac:dyDescent="0.25">
      <c r="A57" s="1" t="s">
        <v>21</v>
      </c>
      <c r="B57" s="2" t="s">
        <v>24</v>
      </c>
      <c r="C57" s="5">
        <v>1474</v>
      </c>
      <c r="D57" s="12" t="s">
        <v>208</v>
      </c>
      <c r="E57" s="6">
        <v>60</v>
      </c>
      <c r="F57" s="1">
        <v>117</v>
      </c>
      <c r="G57" s="6"/>
      <c r="H57" s="21"/>
      <c r="I57" s="1"/>
      <c r="J57" s="5">
        <v>0</v>
      </c>
    </row>
    <row r="58" spans="1:10" x14ac:dyDescent="0.25">
      <c r="A58" s="1" t="s">
        <v>25</v>
      </c>
      <c r="B58" s="2" t="s">
        <v>26</v>
      </c>
      <c r="C58" s="5" t="s">
        <v>27</v>
      </c>
      <c r="D58" s="12" t="s">
        <v>209</v>
      </c>
      <c r="E58" s="6">
        <v>37</v>
      </c>
      <c r="F58" s="1">
        <v>68</v>
      </c>
      <c r="G58" s="6"/>
      <c r="H58" s="21"/>
      <c r="I58" s="1">
        <v>32</v>
      </c>
      <c r="J58" s="1">
        <f>AVERAGE(0,2)</f>
        <v>1</v>
      </c>
    </row>
    <row r="59" spans="1:10" x14ac:dyDescent="0.25">
      <c r="A59" s="1" t="s">
        <v>25</v>
      </c>
      <c r="B59" s="2" t="s">
        <v>26</v>
      </c>
      <c r="C59" s="5" t="s">
        <v>27</v>
      </c>
      <c r="D59" s="12" t="s">
        <v>210</v>
      </c>
      <c r="E59" s="6">
        <v>27</v>
      </c>
      <c r="F59" s="1">
        <v>68</v>
      </c>
      <c r="G59" s="6"/>
      <c r="H59" s="21"/>
      <c r="I59" s="1"/>
      <c r="J59" s="1"/>
    </row>
    <row r="60" spans="1:10" x14ac:dyDescent="0.25">
      <c r="A60" s="1" t="s">
        <v>25</v>
      </c>
      <c r="B60" s="2" t="s">
        <v>26</v>
      </c>
      <c r="C60" s="5" t="s">
        <v>27</v>
      </c>
      <c r="D60" s="12" t="s">
        <v>211</v>
      </c>
      <c r="E60" s="6">
        <v>28</v>
      </c>
      <c r="F60" s="1">
        <v>79</v>
      </c>
      <c r="G60" s="6"/>
      <c r="H60" s="21"/>
      <c r="I60" s="1">
        <v>24</v>
      </c>
      <c r="J60" s="1">
        <f>AVERAGE(1.8,4)</f>
        <v>2.9</v>
      </c>
    </row>
    <row r="61" spans="1:10" x14ac:dyDescent="0.25">
      <c r="A61" s="1" t="s">
        <v>25</v>
      </c>
      <c r="B61" s="2" t="s">
        <v>26</v>
      </c>
      <c r="C61" s="5" t="s">
        <v>27</v>
      </c>
      <c r="D61" s="12" t="s">
        <v>212</v>
      </c>
      <c r="E61" s="6">
        <v>20</v>
      </c>
      <c r="F61" s="1">
        <v>78</v>
      </c>
      <c r="G61" s="6"/>
      <c r="H61" s="21"/>
      <c r="I61" s="1"/>
      <c r="J61" s="1"/>
    </row>
    <row r="62" spans="1:10" x14ac:dyDescent="0.25">
      <c r="A62" s="1" t="s">
        <v>25</v>
      </c>
      <c r="B62" s="2" t="s">
        <v>26</v>
      </c>
      <c r="C62" s="5" t="s">
        <v>27</v>
      </c>
      <c r="D62" s="12" t="s">
        <v>213</v>
      </c>
      <c r="E62" s="6">
        <v>14</v>
      </c>
      <c r="F62" s="1">
        <v>75</v>
      </c>
      <c r="G62" s="6"/>
      <c r="H62" s="21"/>
      <c r="I62" s="1"/>
      <c r="J62" s="1">
        <v>0</v>
      </c>
    </row>
    <row r="63" spans="1:10" x14ac:dyDescent="0.25">
      <c r="A63" s="1" t="s">
        <v>25</v>
      </c>
      <c r="B63" s="2" t="s">
        <v>26</v>
      </c>
      <c r="C63" s="5" t="s">
        <v>27</v>
      </c>
      <c r="D63" s="12" t="s">
        <v>182</v>
      </c>
      <c r="E63" s="6">
        <v>35</v>
      </c>
      <c r="F63" s="1">
        <v>120</v>
      </c>
      <c r="G63" s="6"/>
      <c r="H63" s="21"/>
      <c r="I63" s="1"/>
      <c r="J63" s="1">
        <v>31</v>
      </c>
    </row>
    <row r="64" spans="1:10" x14ac:dyDescent="0.25">
      <c r="A64" s="1" t="s">
        <v>25</v>
      </c>
      <c r="B64" s="2" t="s">
        <v>28</v>
      </c>
      <c r="C64" s="5" t="s">
        <v>27</v>
      </c>
      <c r="D64" s="12" t="s">
        <v>214</v>
      </c>
      <c r="E64" s="6"/>
      <c r="F64" s="1">
        <v>74</v>
      </c>
      <c r="G64" s="6"/>
      <c r="H64" s="21"/>
      <c r="I64" s="1">
        <v>33.700000000000003</v>
      </c>
      <c r="J64" s="1">
        <v>0</v>
      </c>
    </row>
    <row r="65" spans="1:10" x14ac:dyDescent="0.25">
      <c r="A65" s="1" t="s">
        <v>25</v>
      </c>
      <c r="B65" s="2" t="s">
        <v>28</v>
      </c>
      <c r="C65" s="5" t="s">
        <v>27</v>
      </c>
      <c r="D65" s="12" t="s">
        <v>215</v>
      </c>
      <c r="E65" s="6">
        <v>31</v>
      </c>
      <c r="F65" s="1">
        <v>99</v>
      </c>
      <c r="G65" s="6"/>
      <c r="H65" s="21"/>
      <c r="I65" s="1"/>
      <c r="J65" s="1"/>
    </row>
    <row r="66" spans="1:10" x14ac:dyDescent="0.25">
      <c r="A66" s="1" t="s">
        <v>25</v>
      </c>
      <c r="B66" s="2" t="s">
        <v>28</v>
      </c>
      <c r="C66" s="5" t="s">
        <v>27</v>
      </c>
      <c r="D66" s="12" t="s">
        <v>180</v>
      </c>
      <c r="E66" s="6">
        <v>39</v>
      </c>
      <c r="F66" s="1">
        <v>109</v>
      </c>
      <c r="G66" s="6"/>
      <c r="H66" s="21"/>
      <c r="I66" s="1"/>
      <c r="J66" s="1"/>
    </row>
    <row r="67" spans="1:10" x14ac:dyDescent="0.25">
      <c r="A67" s="1" t="s">
        <v>25</v>
      </c>
      <c r="B67" s="2" t="s">
        <v>28</v>
      </c>
      <c r="C67" s="5" t="s">
        <v>27</v>
      </c>
      <c r="D67" s="12" t="s">
        <v>216</v>
      </c>
      <c r="E67" s="6">
        <v>31</v>
      </c>
      <c r="F67" s="1">
        <v>97</v>
      </c>
      <c r="G67" s="6"/>
      <c r="H67" s="21"/>
      <c r="I67" s="1"/>
      <c r="J67" s="1"/>
    </row>
    <row r="68" spans="1:10" x14ac:dyDescent="0.25">
      <c r="A68" s="1" t="s">
        <v>29</v>
      </c>
      <c r="B68" s="2" t="s">
        <v>30</v>
      </c>
      <c r="C68" s="5" t="s">
        <v>31</v>
      </c>
      <c r="D68" s="12" t="s">
        <v>209</v>
      </c>
      <c r="E68" s="6">
        <v>36</v>
      </c>
      <c r="F68" s="1">
        <v>72</v>
      </c>
      <c r="G68" s="6"/>
      <c r="H68" s="21"/>
      <c r="I68" s="1">
        <v>33</v>
      </c>
      <c r="J68" s="1">
        <f>AVERAGE(5,0)</f>
        <v>2.5</v>
      </c>
    </row>
    <row r="69" spans="1:10" x14ac:dyDescent="0.25">
      <c r="A69" s="1" t="s">
        <v>29</v>
      </c>
      <c r="B69" s="2" t="s">
        <v>30</v>
      </c>
      <c r="C69" s="5" t="s">
        <v>31</v>
      </c>
      <c r="D69" s="12" t="s">
        <v>217</v>
      </c>
      <c r="E69" s="6">
        <v>30</v>
      </c>
      <c r="F69" s="1">
        <v>69</v>
      </c>
      <c r="G69" s="6"/>
      <c r="H69" s="21"/>
      <c r="I69" s="1"/>
      <c r="J69" s="1"/>
    </row>
    <row r="70" spans="1:10" x14ac:dyDescent="0.25">
      <c r="A70" s="1" t="s">
        <v>29</v>
      </c>
      <c r="B70" s="2" t="s">
        <v>30</v>
      </c>
      <c r="C70" s="5" t="s">
        <v>31</v>
      </c>
      <c r="D70" s="12" t="s">
        <v>218</v>
      </c>
      <c r="E70" s="6">
        <v>28</v>
      </c>
      <c r="F70" s="1">
        <v>77</v>
      </c>
      <c r="G70" s="6"/>
      <c r="H70" s="21"/>
      <c r="I70" s="1">
        <v>30</v>
      </c>
      <c r="J70" s="1">
        <f>AVERAGE(0,0,9)</f>
        <v>3</v>
      </c>
    </row>
    <row r="71" spans="1:10" x14ac:dyDescent="0.25">
      <c r="A71" s="1" t="s">
        <v>29</v>
      </c>
      <c r="B71" s="2" t="s">
        <v>30</v>
      </c>
      <c r="C71" s="5" t="s">
        <v>31</v>
      </c>
      <c r="D71" s="12" t="s">
        <v>219</v>
      </c>
      <c r="E71" s="6">
        <v>28</v>
      </c>
      <c r="F71" s="1">
        <v>72</v>
      </c>
      <c r="G71" s="6"/>
      <c r="H71" s="21"/>
      <c r="I71" s="1"/>
      <c r="J71" s="1"/>
    </row>
    <row r="72" spans="1:10" x14ac:dyDescent="0.25">
      <c r="A72" s="1" t="s">
        <v>29</v>
      </c>
      <c r="B72" s="2" t="s">
        <v>30</v>
      </c>
      <c r="C72" s="5" t="s">
        <v>31</v>
      </c>
      <c r="D72" s="12" t="s">
        <v>220</v>
      </c>
      <c r="E72" s="6">
        <v>34</v>
      </c>
      <c r="F72" s="1">
        <v>92</v>
      </c>
      <c r="G72" s="6"/>
      <c r="H72" s="21"/>
      <c r="I72" s="1"/>
      <c r="J72" s="1"/>
    </row>
    <row r="73" spans="1:10" x14ac:dyDescent="0.25">
      <c r="A73" s="1" t="s">
        <v>29</v>
      </c>
      <c r="B73" s="2" t="s">
        <v>30</v>
      </c>
      <c r="C73" s="5" t="s">
        <v>31</v>
      </c>
      <c r="D73" s="12" t="s">
        <v>221</v>
      </c>
      <c r="E73" s="6">
        <v>19</v>
      </c>
      <c r="F73" s="1">
        <v>77</v>
      </c>
      <c r="G73" s="6"/>
      <c r="H73" s="21"/>
      <c r="I73" s="1">
        <v>18.5</v>
      </c>
      <c r="J73" s="1">
        <v>0</v>
      </c>
    </row>
    <row r="74" spans="1:10" x14ac:dyDescent="0.25">
      <c r="A74" s="1" t="s">
        <v>29</v>
      </c>
      <c r="B74" s="2" t="s">
        <v>30</v>
      </c>
      <c r="C74" s="5" t="s">
        <v>31</v>
      </c>
      <c r="D74" s="12" t="s">
        <v>222</v>
      </c>
      <c r="E74" s="6">
        <v>18</v>
      </c>
      <c r="F74" s="1">
        <v>75</v>
      </c>
      <c r="G74" s="6"/>
      <c r="H74" s="21"/>
      <c r="I74" s="1"/>
      <c r="J74" s="1"/>
    </row>
    <row r="75" spans="1:10" x14ac:dyDescent="0.25">
      <c r="A75" s="1" t="s">
        <v>29</v>
      </c>
      <c r="B75" s="2" t="s">
        <v>30</v>
      </c>
      <c r="C75" s="5" t="s">
        <v>31</v>
      </c>
      <c r="D75" s="12" t="s">
        <v>223</v>
      </c>
      <c r="E75" s="6">
        <v>40</v>
      </c>
      <c r="F75" s="1">
        <v>77</v>
      </c>
      <c r="G75" s="6"/>
      <c r="H75" s="21"/>
      <c r="I75" s="1"/>
      <c r="J75" s="1">
        <v>0</v>
      </c>
    </row>
    <row r="76" spans="1:10" x14ac:dyDescent="0.25">
      <c r="A76" s="1" t="s">
        <v>29</v>
      </c>
      <c r="B76" s="2" t="s">
        <v>30</v>
      </c>
      <c r="C76" s="5" t="s">
        <v>31</v>
      </c>
      <c r="D76" s="12" t="s">
        <v>224</v>
      </c>
      <c r="E76" s="6"/>
      <c r="F76" s="1">
        <v>93</v>
      </c>
      <c r="G76" s="6"/>
      <c r="H76" s="21"/>
      <c r="I76" s="1"/>
      <c r="J76" s="1"/>
    </row>
    <row r="77" spans="1:10" x14ac:dyDescent="0.25">
      <c r="A77" s="1" t="s">
        <v>29</v>
      </c>
      <c r="B77" s="2" t="s">
        <v>30</v>
      </c>
      <c r="C77" s="5" t="s">
        <v>31</v>
      </c>
      <c r="D77" s="12" t="s">
        <v>189</v>
      </c>
      <c r="E77" s="6">
        <v>16</v>
      </c>
      <c r="F77" s="1">
        <v>81</v>
      </c>
      <c r="G77" s="6"/>
      <c r="H77" s="21"/>
      <c r="I77" s="1"/>
      <c r="J77" s="1">
        <v>0</v>
      </c>
    </row>
    <row r="78" spans="1:10" x14ac:dyDescent="0.25">
      <c r="A78" s="1" t="s">
        <v>32</v>
      </c>
      <c r="B78" s="2" t="s">
        <v>33</v>
      </c>
      <c r="C78" s="1" t="s">
        <v>34</v>
      </c>
      <c r="D78" s="12" t="s">
        <v>225</v>
      </c>
      <c r="E78" s="6">
        <v>49</v>
      </c>
      <c r="F78" s="1">
        <v>87</v>
      </c>
      <c r="G78" s="6"/>
      <c r="H78" s="21"/>
      <c r="I78" s="6">
        <v>43</v>
      </c>
      <c r="J78" s="1">
        <v>2</v>
      </c>
    </row>
    <row r="79" spans="1:10" x14ac:dyDescent="0.25">
      <c r="A79" s="1" t="s">
        <v>32</v>
      </c>
      <c r="B79" s="2" t="s">
        <v>33</v>
      </c>
      <c r="C79" s="1" t="s">
        <v>34</v>
      </c>
      <c r="D79" s="12" t="s">
        <v>226</v>
      </c>
      <c r="E79" s="6">
        <v>37</v>
      </c>
      <c r="F79" s="1">
        <v>80</v>
      </c>
      <c r="G79" s="6"/>
      <c r="H79" s="21"/>
      <c r="I79" s="6"/>
      <c r="J79" s="1"/>
    </row>
    <row r="80" spans="1:10" x14ac:dyDescent="0.25">
      <c r="A80" s="1" t="s">
        <v>32</v>
      </c>
      <c r="B80" s="2" t="s">
        <v>33</v>
      </c>
      <c r="C80" s="5" t="s">
        <v>34</v>
      </c>
      <c r="D80" s="12" t="s">
        <v>227</v>
      </c>
      <c r="E80" s="6">
        <v>28</v>
      </c>
      <c r="F80" s="1">
        <v>76</v>
      </c>
      <c r="G80" s="6"/>
      <c r="H80" s="21"/>
      <c r="I80" s="6">
        <v>28.5</v>
      </c>
      <c r="J80" s="1">
        <f>AVERAGE(7,1)</f>
        <v>4</v>
      </c>
    </row>
    <row r="81" spans="1:10" x14ac:dyDescent="0.25">
      <c r="A81" s="1" t="s">
        <v>32</v>
      </c>
      <c r="B81" s="2" t="s">
        <v>35</v>
      </c>
      <c r="C81" s="5" t="s">
        <v>34</v>
      </c>
      <c r="D81" s="12" t="s">
        <v>228</v>
      </c>
      <c r="E81" s="6">
        <v>29</v>
      </c>
      <c r="F81" s="1">
        <v>64</v>
      </c>
      <c r="G81" s="6"/>
      <c r="H81" s="21"/>
      <c r="I81" s="6"/>
      <c r="J81" s="1"/>
    </row>
    <row r="82" spans="1:10" x14ac:dyDescent="0.25">
      <c r="A82" s="1" t="s">
        <v>32</v>
      </c>
      <c r="B82" s="2" t="s">
        <v>33</v>
      </c>
      <c r="C82" s="5" t="s">
        <v>34</v>
      </c>
      <c r="D82" s="12" t="s">
        <v>229</v>
      </c>
      <c r="E82" s="6">
        <v>28</v>
      </c>
      <c r="F82" s="1">
        <v>76</v>
      </c>
      <c r="G82" s="6"/>
      <c r="H82" s="21"/>
      <c r="I82" s="6"/>
      <c r="J82" s="1"/>
    </row>
    <row r="83" spans="1:10" x14ac:dyDescent="0.25">
      <c r="A83" s="1" t="s">
        <v>32</v>
      </c>
      <c r="B83" s="2" t="s">
        <v>33</v>
      </c>
      <c r="C83" s="5" t="s">
        <v>34</v>
      </c>
      <c r="D83" s="12" t="s">
        <v>230</v>
      </c>
      <c r="E83" s="6">
        <v>44</v>
      </c>
      <c r="F83" s="8">
        <v>81</v>
      </c>
      <c r="G83" s="6"/>
      <c r="H83" s="21"/>
      <c r="I83" s="6">
        <v>35</v>
      </c>
      <c r="J83" s="1">
        <v>4</v>
      </c>
    </row>
    <row r="84" spans="1:10" x14ac:dyDescent="0.25">
      <c r="A84" s="1" t="s">
        <v>32</v>
      </c>
      <c r="B84" s="2" t="s">
        <v>33</v>
      </c>
      <c r="C84" s="5" t="s">
        <v>34</v>
      </c>
      <c r="D84" s="12" t="s">
        <v>231</v>
      </c>
      <c r="E84" s="6">
        <v>26</v>
      </c>
      <c r="F84" s="1">
        <v>80</v>
      </c>
      <c r="G84" s="6"/>
      <c r="H84" s="21"/>
      <c r="I84" s="6"/>
      <c r="J84" s="1"/>
    </row>
    <row r="85" spans="1:10" x14ac:dyDescent="0.25">
      <c r="A85" s="1" t="s">
        <v>32</v>
      </c>
      <c r="B85" s="2" t="s">
        <v>33</v>
      </c>
      <c r="C85" s="5" t="s">
        <v>34</v>
      </c>
      <c r="D85" s="12" t="s">
        <v>232</v>
      </c>
      <c r="E85" s="6">
        <v>39</v>
      </c>
      <c r="F85" s="1">
        <v>89</v>
      </c>
      <c r="G85" s="6"/>
      <c r="H85" s="21"/>
      <c r="I85" s="6">
        <v>43</v>
      </c>
      <c r="J85" s="1">
        <f>AVERAGE(11,1)</f>
        <v>6</v>
      </c>
    </row>
    <row r="86" spans="1:10" x14ac:dyDescent="0.25">
      <c r="A86" s="1" t="s">
        <v>32</v>
      </c>
      <c r="B86" s="2" t="s">
        <v>33</v>
      </c>
      <c r="C86" s="5" t="s">
        <v>34</v>
      </c>
      <c r="D86" s="12" t="s">
        <v>233</v>
      </c>
      <c r="E86" s="6">
        <v>47</v>
      </c>
      <c r="F86" s="1">
        <v>99</v>
      </c>
      <c r="G86" s="6"/>
      <c r="H86" s="21"/>
      <c r="I86" s="6"/>
      <c r="J86" s="1"/>
    </row>
    <row r="87" spans="1:10" x14ac:dyDescent="0.25">
      <c r="A87" s="1" t="s">
        <v>32</v>
      </c>
      <c r="B87" s="2" t="s">
        <v>33</v>
      </c>
      <c r="C87" s="5" t="s">
        <v>34</v>
      </c>
      <c r="D87" s="12" t="s">
        <v>234</v>
      </c>
      <c r="E87" s="6">
        <v>34</v>
      </c>
      <c r="F87" s="1">
        <v>91</v>
      </c>
      <c r="G87" s="6"/>
      <c r="H87" s="21"/>
      <c r="I87" s="6"/>
      <c r="J87" s="1"/>
    </row>
    <row r="88" spans="1:10" x14ac:dyDescent="0.25">
      <c r="A88" s="1" t="s">
        <v>32</v>
      </c>
      <c r="B88" s="2" t="s">
        <v>33</v>
      </c>
      <c r="C88" s="5" t="s">
        <v>34</v>
      </c>
      <c r="D88" s="12" t="s">
        <v>235</v>
      </c>
      <c r="E88" s="6"/>
      <c r="F88" s="1">
        <v>97</v>
      </c>
      <c r="G88" s="6"/>
      <c r="H88" s="21"/>
      <c r="I88" s="6"/>
      <c r="J88" s="1">
        <v>41</v>
      </c>
    </row>
    <row r="89" spans="1:10" x14ac:dyDescent="0.25">
      <c r="A89" s="1" t="s">
        <v>36</v>
      </c>
      <c r="B89" s="2" t="s">
        <v>37</v>
      </c>
      <c r="C89" s="1">
        <v>1643</v>
      </c>
      <c r="D89" s="12" t="s">
        <v>236</v>
      </c>
      <c r="E89" s="6">
        <v>34</v>
      </c>
      <c r="F89" s="1">
        <v>85</v>
      </c>
      <c r="G89" s="6"/>
      <c r="H89" s="21"/>
      <c r="I89" s="6">
        <v>36.5</v>
      </c>
      <c r="J89" s="1">
        <f>AVERAGE(0,2)</f>
        <v>1</v>
      </c>
    </row>
    <row r="90" spans="1:10" x14ac:dyDescent="0.25">
      <c r="A90" s="1" t="s">
        <v>36</v>
      </c>
      <c r="B90" s="2" t="s">
        <v>37</v>
      </c>
      <c r="C90" s="1">
        <v>1643</v>
      </c>
      <c r="D90" s="12" t="s">
        <v>237</v>
      </c>
      <c r="E90" s="6">
        <v>39</v>
      </c>
      <c r="F90" s="1">
        <v>102</v>
      </c>
      <c r="G90" s="6"/>
      <c r="H90" s="21"/>
      <c r="I90" s="6"/>
      <c r="J90" s="9"/>
    </row>
    <row r="91" spans="1:10" x14ac:dyDescent="0.25">
      <c r="A91" s="1" t="s">
        <v>36</v>
      </c>
      <c r="B91" s="2" t="s">
        <v>37</v>
      </c>
      <c r="C91" s="5">
        <v>1643</v>
      </c>
      <c r="D91" s="12" t="s">
        <v>238</v>
      </c>
      <c r="E91" s="6">
        <v>52</v>
      </c>
      <c r="F91" s="1">
        <v>105</v>
      </c>
      <c r="G91" s="6"/>
      <c r="H91" s="21"/>
      <c r="I91" s="6">
        <v>38.5</v>
      </c>
      <c r="J91" s="1">
        <v>0</v>
      </c>
    </row>
    <row r="92" spans="1:10" x14ac:dyDescent="0.25">
      <c r="A92" s="1" t="s">
        <v>36</v>
      </c>
      <c r="B92" s="2" t="s">
        <v>37</v>
      </c>
      <c r="C92" s="5">
        <v>1643</v>
      </c>
      <c r="D92" s="12" t="s">
        <v>239</v>
      </c>
      <c r="E92" s="6">
        <v>25</v>
      </c>
      <c r="F92" s="1">
        <v>77</v>
      </c>
      <c r="G92" s="6"/>
      <c r="H92" s="21"/>
      <c r="I92" s="6"/>
      <c r="J92" s="1"/>
    </row>
    <row r="93" spans="1:10" x14ac:dyDescent="0.25">
      <c r="A93" s="1" t="s">
        <v>36</v>
      </c>
      <c r="B93" s="2" t="s">
        <v>37</v>
      </c>
      <c r="C93" s="5">
        <v>1643</v>
      </c>
      <c r="D93" s="12" t="s">
        <v>240</v>
      </c>
      <c r="E93" s="6">
        <v>47</v>
      </c>
      <c r="F93" s="1">
        <v>116</v>
      </c>
      <c r="G93" s="6"/>
      <c r="H93" s="21"/>
      <c r="I93" s="6">
        <v>43</v>
      </c>
      <c r="J93" s="1">
        <f>AVERAGE(4.8, 8.6)</f>
        <v>6.6999999999999993</v>
      </c>
    </row>
    <row r="94" spans="1:10" x14ac:dyDescent="0.25">
      <c r="A94" s="1" t="s">
        <v>36</v>
      </c>
      <c r="B94" s="2" t="s">
        <v>37</v>
      </c>
      <c r="C94" s="5">
        <v>1643</v>
      </c>
      <c r="D94" s="12" t="s">
        <v>241</v>
      </c>
      <c r="E94" s="6">
        <v>39</v>
      </c>
      <c r="F94" s="1">
        <v>120</v>
      </c>
      <c r="G94" s="6"/>
      <c r="H94" s="21"/>
      <c r="I94" s="6"/>
      <c r="J94" s="1"/>
    </row>
    <row r="95" spans="1:10" x14ac:dyDescent="0.25">
      <c r="A95" s="1" t="s">
        <v>36</v>
      </c>
      <c r="B95" s="2" t="s">
        <v>37</v>
      </c>
      <c r="C95" s="5">
        <v>1643</v>
      </c>
      <c r="D95" s="12" t="s">
        <v>242</v>
      </c>
      <c r="E95" s="6">
        <v>31</v>
      </c>
      <c r="F95" s="1">
        <v>116</v>
      </c>
      <c r="G95" s="6"/>
      <c r="H95" s="21"/>
      <c r="I95" s="6">
        <v>34.5</v>
      </c>
      <c r="J95" s="1">
        <v>0</v>
      </c>
    </row>
    <row r="96" spans="1:10" x14ac:dyDescent="0.25">
      <c r="A96" s="1" t="s">
        <v>36</v>
      </c>
      <c r="B96" s="2" t="s">
        <v>37</v>
      </c>
      <c r="C96" s="5">
        <v>1643</v>
      </c>
      <c r="D96" s="12" t="s">
        <v>243</v>
      </c>
      <c r="E96" s="6">
        <v>38</v>
      </c>
      <c r="F96" s="1">
        <v>122</v>
      </c>
      <c r="G96" s="6"/>
      <c r="H96" s="21"/>
      <c r="I96" s="6"/>
      <c r="J96" s="1"/>
    </row>
    <row r="97" spans="1:10" x14ac:dyDescent="0.25">
      <c r="A97" s="1" t="s">
        <v>36</v>
      </c>
      <c r="B97" s="2" t="s">
        <v>37</v>
      </c>
      <c r="C97" s="5">
        <v>1643</v>
      </c>
      <c r="D97" s="12" t="s">
        <v>244</v>
      </c>
      <c r="E97" s="6">
        <v>45</v>
      </c>
      <c r="F97" s="1">
        <v>115</v>
      </c>
      <c r="G97" s="6"/>
      <c r="H97" s="21"/>
      <c r="I97" s="6">
        <v>43.5</v>
      </c>
      <c r="J97" s="1">
        <v>0</v>
      </c>
    </row>
    <row r="98" spans="1:10" x14ac:dyDescent="0.25">
      <c r="A98" s="1" t="s">
        <v>36</v>
      </c>
      <c r="B98" s="2" t="s">
        <v>37</v>
      </c>
      <c r="C98" s="5">
        <v>1643</v>
      </c>
      <c r="D98" s="12" t="s">
        <v>245</v>
      </c>
      <c r="E98" s="6">
        <v>42</v>
      </c>
      <c r="F98" s="1">
        <v>114</v>
      </c>
      <c r="G98" s="6"/>
      <c r="H98" s="21"/>
      <c r="I98" s="6"/>
      <c r="J98" s="1"/>
    </row>
    <row r="99" spans="1:10" x14ac:dyDescent="0.25">
      <c r="A99" s="1" t="s">
        <v>36</v>
      </c>
      <c r="B99" s="2" t="s">
        <v>37</v>
      </c>
      <c r="C99" s="5">
        <v>1643</v>
      </c>
      <c r="D99" s="12" t="s">
        <v>246</v>
      </c>
      <c r="E99" s="6"/>
      <c r="F99" s="1">
        <v>108</v>
      </c>
      <c r="G99" s="6"/>
      <c r="H99" s="21"/>
      <c r="I99" s="6"/>
      <c r="J99" s="1">
        <v>0</v>
      </c>
    </row>
    <row r="100" spans="1:10" x14ac:dyDescent="0.25">
      <c r="A100" s="1" t="s">
        <v>38</v>
      </c>
      <c r="B100" s="2" t="s">
        <v>39</v>
      </c>
      <c r="C100" s="10" t="s">
        <v>40</v>
      </c>
      <c r="D100" s="12" t="s">
        <v>247</v>
      </c>
      <c r="E100" s="6">
        <v>33</v>
      </c>
      <c r="F100" s="1">
        <v>72</v>
      </c>
      <c r="G100" s="6"/>
      <c r="H100" s="21"/>
      <c r="I100" s="6">
        <v>38</v>
      </c>
      <c r="J100" s="1">
        <v>0</v>
      </c>
    </row>
    <row r="101" spans="1:10" x14ac:dyDescent="0.25">
      <c r="A101" s="1" t="s">
        <v>38</v>
      </c>
      <c r="B101" s="2" t="s">
        <v>39</v>
      </c>
      <c r="C101" s="10" t="s">
        <v>40</v>
      </c>
      <c r="D101" s="12" t="s">
        <v>248</v>
      </c>
      <c r="E101" s="6">
        <v>43</v>
      </c>
      <c r="F101" s="1">
        <v>80</v>
      </c>
      <c r="G101" s="6"/>
      <c r="H101" s="21"/>
      <c r="I101" s="6"/>
      <c r="J101" s="1"/>
    </row>
    <row r="102" spans="1:10" x14ac:dyDescent="0.25">
      <c r="A102" s="1" t="s">
        <v>38</v>
      </c>
      <c r="B102" s="2" t="s">
        <v>41</v>
      </c>
      <c r="C102" s="1" t="s">
        <v>40</v>
      </c>
      <c r="D102" s="12" t="s">
        <v>249</v>
      </c>
      <c r="E102" s="6">
        <v>47</v>
      </c>
      <c r="F102" s="1">
        <v>94</v>
      </c>
      <c r="G102" s="6"/>
      <c r="H102" s="21"/>
      <c r="I102" s="6">
        <v>42</v>
      </c>
      <c r="J102" s="1">
        <f>AVERAGE(0,2)</f>
        <v>1</v>
      </c>
    </row>
    <row r="103" spans="1:10" x14ac:dyDescent="0.25">
      <c r="A103" s="1" t="s">
        <v>38</v>
      </c>
      <c r="B103" s="2" t="s">
        <v>41</v>
      </c>
      <c r="C103" s="1" t="s">
        <v>40</v>
      </c>
      <c r="D103" s="12" t="s">
        <v>250</v>
      </c>
      <c r="E103" s="6">
        <v>37</v>
      </c>
      <c r="F103" s="1">
        <v>92</v>
      </c>
      <c r="G103" s="6"/>
      <c r="H103" s="21"/>
      <c r="I103" s="6"/>
      <c r="J103" s="1"/>
    </row>
    <row r="104" spans="1:10" x14ac:dyDescent="0.25">
      <c r="A104" s="1" t="s">
        <v>38</v>
      </c>
      <c r="B104" s="2" t="s">
        <v>41</v>
      </c>
      <c r="C104" s="1" t="s">
        <v>40</v>
      </c>
      <c r="D104" s="12" t="s">
        <v>251</v>
      </c>
      <c r="E104" s="6">
        <v>51</v>
      </c>
      <c r="F104" s="1">
        <v>95</v>
      </c>
      <c r="G104" s="6"/>
      <c r="H104" s="21"/>
      <c r="I104" s="6">
        <v>42.5</v>
      </c>
      <c r="J104" s="1">
        <v>0</v>
      </c>
    </row>
    <row r="105" spans="1:10" x14ac:dyDescent="0.25">
      <c r="A105" s="1" t="s">
        <v>38</v>
      </c>
      <c r="B105" s="2" t="s">
        <v>41</v>
      </c>
      <c r="C105" s="1" t="s">
        <v>40</v>
      </c>
      <c r="D105" s="12" t="s">
        <v>252</v>
      </c>
      <c r="E105" s="6">
        <v>34</v>
      </c>
      <c r="F105" s="1">
        <v>77</v>
      </c>
      <c r="G105" s="6"/>
      <c r="H105" s="21"/>
      <c r="I105" s="6"/>
      <c r="J105" s="1"/>
    </row>
    <row r="106" spans="1:10" x14ac:dyDescent="0.25">
      <c r="A106" s="1" t="s">
        <v>38</v>
      </c>
      <c r="B106" s="2" t="s">
        <v>41</v>
      </c>
      <c r="C106" s="1" t="s">
        <v>40</v>
      </c>
      <c r="D106" s="12" t="s">
        <v>242</v>
      </c>
      <c r="E106" s="6">
        <v>48</v>
      </c>
      <c r="F106" s="1">
        <v>70</v>
      </c>
      <c r="G106" s="6"/>
      <c r="H106" s="21"/>
      <c r="I106" s="6">
        <v>45.5</v>
      </c>
      <c r="J106" s="1">
        <v>0</v>
      </c>
    </row>
    <row r="107" spans="1:10" x14ac:dyDescent="0.25">
      <c r="A107" s="1" t="s">
        <v>38</v>
      </c>
      <c r="B107" s="2" t="s">
        <v>41</v>
      </c>
      <c r="C107" s="1" t="s">
        <v>40</v>
      </c>
      <c r="D107" s="12" t="s">
        <v>253</v>
      </c>
      <c r="E107" s="6">
        <v>43</v>
      </c>
      <c r="F107" s="1">
        <v>93</v>
      </c>
      <c r="G107" s="6"/>
      <c r="H107" s="21"/>
      <c r="I107" s="6"/>
      <c r="J107" s="1"/>
    </row>
    <row r="108" spans="1:10" x14ac:dyDescent="0.25">
      <c r="A108" s="1" t="s">
        <v>38</v>
      </c>
      <c r="B108" s="2" t="s">
        <v>41</v>
      </c>
      <c r="C108" s="1" t="s">
        <v>40</v>
      </c>
      <c r="D108" s="12" t="s">
        <v>245</v>
      </c>
      <c r="E108" s="6">
        <v>42</v>
      </c>
      <c r="F108" s="1">
        <v>114</v>
      </c>
      <c r="G108" s="6"/>
      <c r="H108" s="21"/>
      <c r="I108" s="6"/>
      <c r="J108" s="1">
        <v>0</v>
      </c>
    </row>
    <row r="109" spans="1:10" x14ac:dyDescent="0.25">
      <c r="A109" s="1" t="s">
        <v>38</v>
      </c>
      <c r="B109" s="2" t="s">
        <v>41</v>
      </c>
      <c r="C109" s="1" t="s">
        <v>40</v>
      </c>
      <c r="D109" s="12" t="s">
        <v>254</v>
      </c>
      <c r="E109" s="6"/>
      <c r="F109" s="1">
        <v>86</v>
      </c>
      <c r="G109" s="6"/>
      <c r="H109" s="21"/>
      <c r="I109" s="6"/>
      <c r="J109" s="1">
        <v>0</v>
      </c>
    </row>
    <row r="110" spans="1:10" x14ac:dyDescent="0.25">
      <c r="A110" s="1" t="s">
        <v>42</v>
      </c>
      <c r="B110" s="2" t="s">
        <v>43</v>
      </c>
      <c r="C110" s="1">
        <v>1550</v>
      </c>
      <c r="D110" s="12" t="s">
        <v>255</v>
      </c>
      <c r="E110" s="6">
        <v>43</v>
      </c>
      <c r="F110" s="1">
        <v>82</v>
      </c>
      <c r="G110" s="6"/>
      <c r="H110" s="21"/>
      <c r="I110" s="6">
        <v>42.5</v>
      </c>
      <c r="J110" s="1">
        <f>AVERAGE(0,4)</f>
        <v>2</v>
      </c>
    </row>
    <row r="111" spans="1:10" x14ac:dyDescent="0.25">
      <c r="A111" s="1" t="s">
        <v>42</v>
      </c>
      <c r="B111" s="2" t="s">
        <v>43</v>
      </c>
      <c r="C111" s="1">
        <v>1550</v>
      </c>
      <c r="D111" s="12" t="s">
        <v>256</v>
      </c>
      <c r="E111" s="6">
        <v>42</v>
      </c>
      <c r="F111" s="1">
        <v>95</v>
      </c>
      <c r="G111" s="6"/>
      <c r="H111" s="21"/>
      <c r="I111" s="6"/>
      <c r="J111" s="1"/>
    </row>
    <row r="112" spans="1:10" x14ac:dyDescent="0.25">
      <c r="A112" s="1" t="s">
        <v>42</v>
      </c>
      <c r="B112" s="2" t="s">
        <v>44</v>
      </c>
      <c r="C112" s="5">
        <v>1550</v>
      </c>
      <c r="D112" s="12" t="s">
        <v>257</v>
      </c>
      <c r="E112" s="6">
        <v>56</v>
      </c>
      <c r="F112" s="1">
        <v>90</v>
      </c>
      <c r="G112" s="6"/>
      <c r="H112" s="21"/>
      <c r="I112" s="6">
        <v>46</v>
      </c>
      <c r="J112" s="1">
        <f>AVERAGE(0,2)</f>
        <v>1</v>
      </c>
    </row>
    <row r="113" spans="1:10" x14ac:dyDescent="0.25">
      <c r="A113" s="1" t="s">
        <v>42</v>
      </c>
      <c r="B113" s="2" t="s">
        <v>44</v>
      </c>
      <c r="C113" s="5">
        <v>1550</v>
      </c>
      <c r="D113" s="12" t="s">
        <v>250</v>
      </c>
      <c r="E113" s="6">
        <v>36</v>
      </c>
      <c r="F113" s="1">
        <v>84</v>
      </c>
      <c r="G113" s="6"/>
      <c r="H113" s="21"/>
      <c r="I113" s="6"/>
      <c r="J113" s="1"/>
    </row>
    <row r="114" spans="1:10" x14ac:dyDescent="0.25">
      <c r="A114" s="1" t="s">
        <v>42</v>
      </c>
      <c r="B114" s="2" t="s">
        <v>44</v>
      </c>
      <c r="C114" s="5">
        <v>1550</v>
      </c>
      <c r="D114" s="12" t="s">
        <v>258</v>
      </c>
      <c r="E114" s="6">
        <v>54</v>
      </c>
      <c r="F114" s="1">
        <v>82</v>
      </c>
      <c r="G114" s="6"/>
      <c r="H114" s="21"/>
      <c r="I114" s="6">
        <v>46.5</v>
      </c>
      <c r="J114" s="1">
        <v>0</v>
      </c>
    </row>
    <row r="115" spans="1:10" x14ac:dyDescent="0.25">
      <c r="A115" s="1" t="s">
        <v>42</v>
      </c>
      <c r="B115" s="2" t="s">
        <v>44</v>
      </c>
      <c r="C115" s="5">
        <v>1550</v>
      </c>
      <c r="D115" s="12" t="s">
        <v>252</v>
      </c>
      <c r="E115" s="6">
        <v>39</v>
      </c>
      <c r="F115" s="1">
        <v>99</v>
      </c>
      <c r="G115" s="6"/>
      <c r="H115" s="21"/>
      <c r="I115" s="6"/>
      <c r="J115" s="1"/>
    </row>
    <row r="116" spans="1:10" x14ac:dyDescent="0.25">
      <c r="A116" s="1" t="s">
        <v>42</v>
      </c>
      <c r="B116" s="2" t="s">
        <v>44</v>
      </c>
      <c r="C116" s="5">
        <v>1550</v>
      </c>
      <c r="D116" s="12" t="s">
        <v>259</v>
      </c>
      <c r="E116" s="6">
        <v>53</v>
      </c>
      <c r="F116" s="1">
        <v>94</v>
      </c>
      <c r="G116" s="6"/>
      <c r="H116" s="21"/>
      <c r="I116" s="6">
        <v>42</v>
      </c>
      <c r="J116" s="1">
        <v>0</v>
      </c>
    </row>
    <row r="117" spans="1:10" x14ac:dyDescent="0.25">
      <c r="A117" s="1" t="s">
        <v>42</v>
      </c>
      <c r="B117" s="2" t="s">
        <v>44</v>
      </c>
      <c r="C117" s="5">
        <v>1550</v>
      </c>
      <c r="D117" s="12" t="s">
        <v>253</v>
      </c>
      <c r="E117" s="6">
        <v>31</v>
      </c>
      <c r="F117" s="1">
        <v>104</v>
      </c>
      <c r="G117" s="6"/>
      <c r="H117" s="21"/>
      <c r="I117" s="6"/>
      <c r="J117" s="1"/>
    </row>
    <row r="118" spans="1:10" x14ac:dyDescent="0.25">
      <c r="A118" s="1" t="s">
        <v>42</v>
      </c>
      <c r="B118" s="2" t="s">
        <v>44</v>
      </c>
      <c r="C118" s="5">
        <v>1550</v>
      </c>
      <c r="D118" s="12" t="s">
        <v>234</v>
      </c>
      <c r="E118" s="6">
        <v>43</v>
      </c>
      <c r="F118" s="1">
        <v>100</v>
      </c>
      <c r="G118" s="6"/>
      <c r="H118" s="21"/>
      <c r="I118" s="6"/>
      <c r="J118" s="1">
        <v>0</v>
      </c>
    </row>
    <row r="119" spans="1:10" x14ac:dyDescent="0.25">
      <c r="A119" s="1" t="s">
        <v>45</v>
      </c>
      <c r="B119" s="2" t="s">
        <v>46</v>
      </c>
      <c r="C119" s="1" t="s">
        <v>47</v>
      </c>
      <c r="D119" s="12" t="s">
        <v>260</v>
      </c>
      <c r="E119" s="6">
        <v>22</v>
      </c>
      <c r="F119" s="1">
        <v>56</v>
      </c>
      <c r="G119" s="6"/>
      <c r="H119" s="21"/>
      <c r="I119" s="7">
        <v>27.5</v>
      </c>
      <c r="J119" s="1">
        <f>AVERAGE(10,7)</f>
        <v>8.5</v>
      </c>
    </row>
    <row r="120" spans="1:10" x14ac:dyDescent="0.25">
      <c r="A120" s="1" t="s">
        <v>45</v>
      </c>
      <c r="B120" s="2" t="s">
        <v>46</v>
      </c>
      <c r="C120" s="1" t="s">
        <v>47</v>
      </c>
      <c r="D120" s="12" t="s">
        <v>261</v>
      </c>
      <c r="E120" s="6">
        <v>33</v>
      </c>
      <c r="F120" s="1">
        <v>61</v>
      </c>
      <c r="G120" s="6"/>
      <c r="H120" s="21"/>
      <c r="I120" s="6"/>
      <c r="J120" s="1"/>
    </row>
    <row r="121" spans="1:10" x14ac:dyDescent="0.25">
      <c r="A121" s="1" t="s">
        <v>45</v>
      </c>
      <c r="B121" s="2" t="s">
        <v>46</v>
      </c>
      <c r="C121" s="10" t="s">
        <v>47</v>
      </c>
      <c r="D121" s="12" t="s">
        <v>262</v>
      </c>
      <c r="E121" s="6">
        <v>30</v>
      </c>
      <c r="F121" s="1">
        <v>53</v>
      </c>
      <c r="G121" s="6"/>
      <c r="H121" s="21"/>
      <c r="I121" s="6">
        <v>42</v>
      </c>
      <c r="J121" s="1">
        <f>AVERAGE(35,8)</f>
        <v>21.5</v>
      </c>
    </row>
    <row r="122" spans="1:10" x14ac:dyDescent="0.25">
      <c r="A122" s="1" t="s">
        <v>45</v>
      </c>
      <c r="B122" s="2" t="s">
        <v>46</v>
      </c>
      <c r="C122" s="10" t="s">
        <v>47</v>
      </c>
      <c r="D122" s="12" t="s">
        <v>263</v>
      </c>
      <c r="E122" s="6">
        <v>54</v>
      </c>
      <c r="F122" s="1">
        <v>71</v>
      </c>
      <c r="G122" s="6"/>
      <c r="H122" s="21"/>
      <c r="I122" s="6"/>
      <c r="J122" s="1"/>
    </row>
    <row r="123" spans="1:10" x14ac:dyDescent="0.25">
      <c r="A123" s="1" t="s">
        <v>45</v>
      </c>
      <c r="B123" s="2" t="s">
        <v>46</v>
      </c>
      <c r="C123" s="10" t="s">
        <v>47</v>
      </c>
      <c r="D123" s="12" t="s">
        <v>264</v>
      </c>
      <c r="E123" s="6">
        <v>39</v>
      </c>
      <c r="F123" s="1">
        <v>68</v>
      </c>
      <c r="G123" s="6"/>
      <c r="H123" s="21"/>
      <c r="I123" s="6">
        <v>36</v>
      </c>
      <c r="J123" s="1">
        <f>AVERAGE(14, 21)</f>
        <v>17.5</v>
      </c>
    </row>
    <row r="124" spans="1:10" x14ac:dyDescent="0.25">
      <c r="A124" s="1" t="s">
        <v>45</v>
      </c>
      <c r="B124" s="2" t="s">
        <v>46</v>
      </c>
      <c r="C124" s="10" t="s">
        <v>47</v>
      </c>
      <c r="D124" s="12" t="s">
        <v>265</v>
      </c>
      <c r="E124" s="6">
        <v>33</v>
      </c>
      <c r="F124" s="1">
        <v>63</v>
      </c>
      <c r="G124" s="6"/>
      <c r="H124" s="21"/>
      <c r="I124" s="6"/>
      <c r="J124" s="1"/>
    </row>
    <row r="125" spans="1:10" x14ac:dyDescent="0.25">
      <c r="A125" s="1" t="s">
        <v>45</v>
      </c>
      <c r="B125" s="2" t="s">
        <v>46</v>
      </c>
      <c r="C125" s="10" t="s">
        <v>47</v>
      </c>
      <c r="D125" s="12" t="s">
        <v>266</v>
      </c>
      <c r="E125" s="6">
        <v>30</v>
      </c>
      <c r="F125" s="1">
        <v>58</v>
      </c>
      <c r="G125" s="6"/>
      <c r="H125" s="21"/>
      <c r="I125" s="6">
        <v>36.5</v>
      </c>
      <c r="J125" s="1">
        <f>AVERAGE(6,2)</f>
        <v>4</v>
      </c>
    </row>
    <row r="126" spans="1:10" x14ac:dyDescent="0.25">
      <c r="A126" s="1" t="s">
        <v>45</v>
      </c>
      <c r="B126" s="2" t="s">
        <v>46</v>
      </c>
      <c r="C126" s="10" t="s">
        <v>47</v>
      </c>
      <c r="D126" s="12" t="s">
        <v>267</v>
      </c>
      <c r="E126" s="6">
        <v>43</v>
      </c>
      <c r="F126" s="1">
        <v>72</v>
      </c>
      <c r="G126" s="6"/>
      <c r="H126" s="21"/>
      <c r="I126" s="6"/>
      <c r="J126" s="1"/>
    </row>
    <row r="127" spans="1:10" x14ac:dyDescent="0.25">
      <c r="A127" s="1" t="s">
        <v>45</v>
      </c>
      <c r="B127" s="2" t="s">
        <v>46</v>
      </c>
      <c r="C127" s="10" t="s">
        <v>47</v>
      </c>
      <c r="D127" s="12" t="s">
        <v>268</v>
      </c>
      <c r="E127" s="6">
        <v>27</v>
      </c>
      <c r="F127" s="1">
        <v>64</v>
      </c>
      <c r="G127" s="6"/>
      <c r="H127" s="21"/>
      <c r="I127" s="6"/>
      <c r="J127" s="1">
        <v>0</v>
      </c>
    </row>
    <row r="128" spans="1:10" x14ac:dyDescent="0.25">
      <c r="A128" s="1" t="s">
        <v>45</v>
      </c>
      <c r="B128" s="2" t="s">
        <v>46</v>
      </c>
      <c r="C128" s="10" t="s">
        <v>47</v>
      </c>
      <c r="D128" s="12" t="s">
        <v>269</v>
      </c>
      <c r="E128" s="6"/>
      <c r="F128" s="1">
        <v>75</v>
      </c>
      <c r="G128" s="6"/>
      <c r="H128" s="21"/>
      <c r="I128" s="6"/>
      <c r="J128" s="1">
        <v>0</v>
      </c>
    </row>
    <row r="129" spans="1:10" x14ac:dyDescent="0.25">
      <c r="A129" s="1" t="s">
        <v>48</v>
      </c>
      <c r="B129" s="2" t="s">
        <v>49</v>
      </c>
      <c r="C129" s="1" t="s">
        <v>50</v>
      </c>
      <c r="D129" s="12" t="s">
        <v>270</v>
      </c>
      <c r="E129" s="6">
        <v>46</v>
      </c>
      <c r="F129" s="1">
        <v>98</v>
      </c>
      <c r="G129" s="6"/>
      <c r="H129" s="21"/>
      <c r="I129" s="6">
        <v>44</v>
      </c>
      <c r="J129" s="5">
        <v>0</v>
      </c>
    </row>
    <row r="130" spans="1:10" x14ac:dyDescent="0.25">
      <c r="A130" s="1" t="s">
        <v>48</v>
      </c>
      <c r="B130" s="2" t="s">
        <v>49</v>
      </c>
      <c r="C130" s="1" t="s">
        <v>50</v>
      </c>
      <c r="D130" s="12" t="s">
        <v>271</v>
      </c>
      <c r="E130" s="6"/>
      <c r="F130" s="1">
        <v>87</v>
      </c>
      <c r="G130" s="6"/>
      <c r="H130" s="21"/>
      <c r="I130" s="6"/>
      <c r="J130" s="5"/>
    </row>
    <row r="131" spans="1:10" x14ac:dyDescent="0.25">
      <c r="A131" s="1" t="s">
        <v>48</v>
      </c>
      <c r="B131" s="2" t="s">
        <v>49</v>
      </c>
      <c r="C131" s="1" t="s">
        <v>50</v>
      </c>
      <c r="D131" s="12" t="s">
        <v>272</v>
      </c>
      <c r="E131" s="6">
        <v>42</v>
      </c>
      <c r="F131" s="1">
        <v>93</v>
      </c>
      <c r="G131" s="6"/>
      <c r="H131" s="21"/>
      <c r="I131" s="6"/>
      <c r="J131" s="5"/>
    </row>
    <row r="132" spans="1:10" x14ac:dyDescent="0.25">
      <c r="A132" s="1" t="s">
        <v>48</v>
      </c>
      <c r="B132" s="2" t="s">
        <v>49</v>
      </c>
      <c r="C132" s="1" t="s">
        <v>50</v>
      </c>
      <c r="D132" s="12" t="s">
        <v>273</v>
      </c>
      <c r="E132" s="6">
        <v>38</v>
      </c>
      <c r="F132" s="1">
        <v>68</v>
      </c>
      <c r="G132" s="6"/>
      <c r="H132" s="21"/>
      <c r="I132" s="6">
        <v>32.5</v>
      </c>
      <c r="J132" s="1">
        <f>AVERAGE(0,5)</f>
        <v>2.5</v>
      </c>
    </row>
    <row r="133" spans="1:10" x14ac:dyDescent="0.25">
      <c r="A133" s="1" t="s">
        <v>48</v>
      </c>
      <c r="B133" s="2" t="s">
        <v>49</v>
      </c>
      <c r="C133" s="1" t="s">
        <v>50</v>
      </c>
      <c r="D133" s="12" t="s">
        <v>274</v>
      </c>
      <c r="E133" s="6">
        <v>27</v>
      </c>
      <c r="F133" s="1">
        <v>91</v>
      </c>
      <c r="G133" s="6"/>
      <c r="H133" s="21"/>
      <c r="I133" s="6"/>
      <c r="J133" s="1"/>
    </row>
    <row r="134" spans="1:10" x14ac:dyDescent="0.25">
      <c r="A134" s="1" t="s">
        <v>48</v>
      </c>
      <c r="B134" s="2" t="s">
        <v>49</v>
      </c>
      <c r="C134" s="1" t="s">
        <v>50</v>
      </c>
      <c r="D134" s="12" t="s">
        <v>275</v>
      </c>
      <c r="E134" s="6">
        <v>49</v>
      </c>
      <c r="F134" s="1">
        <v>89</v>
      </c>
      <c r="G134" s="6"/>
      <c r="H134" s="21"/>
      <c r="I134" s="6">
        <v>48</v>
      </c>
      <c r="J134" s="1">
        <f>AVERAGE(0,13)</f>
        <v>6.5</v>
      </c>
    </row>
    <row r="135" spans="1:10" x14ac:dyDescent="0.25">
      <c r="A135" s="1" t="s">
        <v>48</v>
      </c>
      <c r="B135" s="2" t="s">
        <v>49</v>
      </c>
      <c r="C135" s="1" t="s">
        <v>50</v>
      </c>
      <c r="D135" s="12" t="s">
        <v>276</v>
      </c>
      <c r="E135" s="6">
        <v>47</v>
      </c>
      <c r="F135" s="1">
        <v>88</v>
      </c>
      <c r="G135" s="6"/>
      <c r="H135" s="21"/>
      <c r="I135" s="6"/>
      <c r="J135" s="1"/>
    </row>
    <row r="136" spans="1:10" x14ac:dyDescent="0.25">
      <c r="A136" s="1" t="s">
        <v>48</v>
      </c>
      <c r="B136" s="2" t="s">
        <v>49</v>
      </c>
      <c r="C136" s="1" t="s">
        <v>50</v>
      </c>
      <c r="D136" s="12" t="s">
        <v>242</v>
      </c>
      <c r="E136" s="6">
        <v>42</v>
      </c>
      <c r="F136" s="1">
        <v>79</v>
      </c>
      <c r="G136" s="6"/>
      <c r="H136" s="21"/>
      <c r="I136" s="6">
        <v>45.5</v>
      </c>
      <c r="J136" s="5">
        <v>0</v>
      </c>
    </row>
    <row r="137" spans="1:10" x14ac:dyDescent="0.25">
      <c r="A137" s="1" t="s">
        <v>48</v>
      </c>
      <c r="B137" s="2" t="s">
        <v>49</v>
      </c>
      <c r="C137" s="1" t="s">
        <v>50</v>
      </c>
      <c r="D137" s="12" t="s">
        <v>277</v>
      </c>
      <c r="E137" s="6">
        <v>49</v>
      </c>
      <c r="F137" s="1">
        <v>91</v>
      </c>
      <c r="G137" s="6"/>
      <c r="H137" s="21"/>
      <c r="I137" s="6"/>
      <c r="J137" s="1"/>
    </row>
    <row r="138" spans="1:10" x14ac:dyDescent="0.25">
      <c r="A138" s="1" t="s">
        <v>48</v>
      </c>
      <c r="B138" s="2" t="s">
        <v>49</v>
      </c>
      <c r="C138" s="1" t="s">
        <v>50</v>
      </c>
      <c r="D138" s="12" t="s">
        <v>244</v>
      </c>
      <c r="E138" s="6">
        <v>49</v>
      </c>
      <c r="F138" s="1">
        <v>86</v>
      </c>
      <c r="G138" s="6"/>
      <c r="H138" s="21"/>
      <c r="I138" s="6">
        <v>44</v>
      </c>
      <c r="J138" s="1">
        <v>0</v>
      </c>
    </row>
    <row r="139" spans="1:10" x14ac:dyDescent="0.25">
      <c r="A139" s="1" t="s">
        <v>48</v>
      </c>
      <c r="B139" s="2" t="s">
        <v>49</v>
      </c>
      <c r="C139" s="1" t="s">
        <v>50</v>
      </c>
      <c r="D139" s="12" t="s">
        <v>245</v>
      </c>
      <c r="E139" s="6">
        <v>39</v>
      </c>
      <c r="F139" s="1">
        <v>77</v>
      </c>
      <c r="G139" s="6"/>
      <c r="H139" s="21"/>
      <c r="I139" s="6"/>
      <c r="J139" s="1"/>
    </row>
    <row r="140" spans="1:10" x14ac:dyDescent="0.25">
      <c r="A140" s="1" t="s">
        <v>48</v>
      </c>
      <c r="B140" s="2" t="s">
        <v>49</v>
      </c>
      <c r="C140" s="1" t="s">
        <v>50</v>
      </c>
      <c r="D140" s="12" t="s">
        <v>246</v>
      </c>
      <c r="E140" s="6"/>
      <c r="F140" s="1">
        <v>67</v>
      </c>
      <c r="G140" s="6"/>
      <c r="H140" s="21"/>
      <c r="I140" s="6"/>
      <c r="J140" s="1">
        <v>0</v>
      </c>
    </row>
    <row r="141" spans="1:10" x14ac:dyDescent="0.25">
      <c r="A141" s="1" t="s">
        <v>51</v>
      </c>
      <c r="B141" s="2" t="s">
        <v>52</v>
      </c>
      <c r="C141" s="1">
        <v>1614</v>
      </c>
      <c r="D141" s="12" t="s">
        <v>278</v>
      </c>
      <c r="E141" s="6">
        <v>43</v>
      </c>
      <c r="F141" s="1">
        <v>84</v>
      </c>
      <c r="G141" s="6"/>
      <c r="H141" s="21"/>
      <c r="I141" s="6">
        <v>38.5</v>
      </c>
      <c r="J141" s="1">
        <v>0</v>
      </c>
    </row>
    <row r="142" spans="1:10" x14ac:dyDescent="0.25">
      <c r="A142" s="1" t="s">
        <v>51</v>
      </c>
      <c r="B142" s="2" t="s">
        <v>52</v>
      </c>
      <c r="C142" s="1">
        <v>1614</v>
      </c>
      <c r="D142" s="12" t="s">
        <v>279</v>
      </c>
      <c r="E142" s="6">
        <v>34</v>
      </c>
      <c r="F142" s="1">
        <v>82</v>
      </c>
      <c r="G142" s="6"/>
      <c r="H142" s="21"/>
      <c r="I142" s="6"/>
      <c r="J142" s="1"/>
    </row>
    <row r="143" spans="1:10" x14ac:dyDescent="0.25">
      <c r="A143" s="1" t="s">
        <v>51</v>
      </c>
      <c r="B143" s="2" t="s">
        <v>52</v>
      </c>
      <c r="C143" s="5">
        <v>1614</v>
      </c>
      <c r="D143" s="12" t="s">
        <v>280</v>
      </c>
      <c r="E143" s="7">
        <v>46</v>
      </c>
      <c r="F143" s="1">
        <v>91</v>
      </c>
      <c r="G143" s="7"/>
      <c r="H143" s="22"/>
      <c r="I143" s="7">
        <v>43.5</v>
      </c>
      <c r="J143" s="1">
        <f>AVERAGE(0,5)</f>
        <v>2.5</v>
      </c>
    </row>
    <row r="144" spans="1:10" x14ac:dyDescent="0.25">
      <c r="A144" s="1" t="s">
        <v>51</v>
      </c>
      <c r="B144" s="2" t="s">
        <v>52</v>
      </c>
      <c r="C144" s="5">
        <v>1614</v>
      </c>
      <c r="D144" s="12" t="s">
        <v>281</v>
      </c>
      <c r="E144" s="6">
        <v>41</v>
      </c>
      <c r="F144" s="1">
        <v>77</v>
      </c>
      <c r="G144" s="6"/>
      <c r="H144" s="21"/>
      <c r="I144" s="6"/>
      <c r="J144" s="1"/>
    </row>
    <row r="145" spans="1:10" x14ac:dyDescent="0.25">
      <c r="A145" s="1" t="s">
        <v>51</v>
      </c>
      <c r="B145" s="2" t="s">
        <v>52</v>
      </c>
      <c r="C145" s="5">
        <v>1614</v>
      </c>
      <c r="D145" s="12" t="s">
        <v>282</v>
      </c>
      <c r="E145" s="7">
        <v>28</v>
      </c>
      <c r="F145" s="1">
        <v>97</v>
      </c>
      <c r="G145" s="7"/>
      <c r="H145" s="22"/>
      <c r="I145" s="6">
        <v>23</v>
      </c>
      <c r="J145" s="1">
        <v>0</v>
      </c>
    </row>
    <row r="146" spans="1:10" x14ac:dyDescent="0.25">
      <c r="A146" s="1" t="s">
        <v>51</v>
      </c>
      <c r="B146" s="2" t="s">
        <v>52</v>
      </c>
      <c r="C146" s="5">
        <v>1614</v>
      </c>
      <c r="D146" s="12" t="s">
        <v>283</v>
      </c>
      <c r="E146" s="6">
        <v>18</v>
      </c>
      <c r="F146" s="1">
        <v>92</v>
      </c>
      <c r="G146" s="6"/>
      <c r="H146" s="21"/>
      <c r="I146" s="6"/>
      <c r="J146" s="1"/>
    </row>
    <row r="147" spans="1:10" x14ac:dyDescent="0.25">
      <c r="A147" s="1" t="s">
        <v>51</v>
      </c>
      <c r="B147" s="2" t="s">
        <v>52</v>
      </c>
      <c r="C147" s="5">
        <v>1614</v>
      </c>
      <c r="D147" s="12" t="s">
        <v>242</v>
      </c>
      <c r="E147" s="6">
        <v>31</v>
      </c>
      <c r="F147" s="1">
        <v>85</v>
      </c>
      <c r="G147" s="6"/>
      <c r="H147" s="21"/>
      <c r="I147" s="6">
        <v>25.5</v>
      </c>
      <c r="J147" s="1">
        <v>0</v>
      </c>
    </row>
    <row r="148" spans="1:10" x14ac:dyDescent="0.25">
      <c r="A148" s="1" t="s">
        <v>51</v>
      </c>
      <c r="B148" s="2" t="s">
        <v>52</v>
      </c>
      <c r="C148" s="5">
        <v>1614</v>
      </c>
      <c r="D148" s="12" t="s">
        <v>284</v>
      </c>
      <c r="E148" s="6">
        <v>20</v>
      </c>
      <c r="F148" s="1">
        <v>73</v>
      </c>
      <c r="G148" s="6"/>
      <c r="H148" s="21"/>
      <c r="I148" s="6"/>
      <c r="J148" s="1"/>
    </row>
    <row r="149" spans="1:10" x14ac:dyDescent="0.25">
      <c r="A149" s="1" t="s">
        <v>51</v>
      </c>
      <c r="B149" s="2" t="s">
        <v>52</v>
      </c>
      <c r="C149" s="5">
        <v>1614</v>
      </c>
      <c r="D149" s="12" t="s">
        <v>285</v>
      </c>
      <c r="E149" s="6">
        <v>23</v>
      </c>
      <c r="F149" s="1">
        <v>87</v>
      </c>
      <c r="G149" s="6"/>
      <c r="H149" s="21"/>
      <c r="I149" s="1"/>
      <c r="J149" s="6">
        <v>0</v>
      </c>
    </row>
    <row r="150" spans="1:10" x14ac:dyDescent="0.25">
      <c r="A150" s="1" t="s">
        <v>51</v>
      </c>
      <c r="B150" s="2" t="s">
        <v>52</v>
      </c>
      <c r="C150" s="5">
        <v>1614</v>
      </c>
      <c r="D150" s="12" t="s">
        <v>269</v>
      </c>
      <c r="E150" s="6"/>
      <c r="F150" s="1">
        <v>83</v>
      </c>
      <c r="G150" s="6"/>
      <c r="H150" s="21"/>
      <c r="I150" s="6"/>
      <c r="J150" s="1">
        <v>0</v>
      </c>
    </row>
    <row r="151" spans="1:10" x14ac:dyDescent="0.25">
      <c r="A151" s="1" t="s">
        <v>53</v>
      </c>
      <c r="B151" s="2" t="s">
        <v>54</v>
      </c>
      <c r="C151" s="5" t="s">
        <v>55</v>
      </c>
      <c r="D151" s="12" t="s">
        <v>286</v>
      </c>
      <c r="E151" s="6">
        <v>38</v>
      </c>
      <c r="F151" s="1">
        <v>64</v>
      </c>
      <c r="G151" s="6"/>
      <c r="H151" s="21"/>
      <c r="I151" s="6">
        <v>35</v>
      </c>
      <c r="J151" s="1">
        <v>0</v>
      </c>
    </row>
    <row r="152" spans="1:10" x14ac:dyDescent="0.25">
      <c r="A152" s="1" t="s">
        <v>53</v>
      </c>
      <c r="B152" s="2" t="s">
        <v>54</v>
      </c>
      <c r="C152" s="5" t="s">
        <v>55</v>
      </c>
      <c r="D152" s="12" t="s">
        <v>287</v>
      </c>
      <c r="E152" s="6">
        <v>32</v>
      </c>
      <c r="F152" s="1">
        <v>83</v>
      </c>
      <c r="G152" s="6"/>
      <c r="H152" s="21"/>
      <c r="I152" s="6"/>
      <c r="J152" s="1"/>
    </row>
    <row r="153" spans="1:10" x14ac:dyDescent="0.25">
      <c r="A153" s="1" t="s">
        <v>53</v>
      </c>
      <c r="B153" s="2" t="s">
        <v>54</v>
      </c>
      <c r="C153" s="5" t="s">
        <v>55</v>
      </c>
      <c r="D153" s="12" t="s">
        <v>288</v>
      </c>
      <c r="E153" s="6">
        <v>41</v>
      </c>
      <c r="F153" s="1">
        <v>78</v>
      </c>
      <c r="G153" s="6"/>
      <c r="H153" s="21"/>
      <c r="I153" s="6">
        <v>31</v>
      </c>
      <c r="J153" s="1">
        <v>0</v>
      </c>
    </row>
    <row r="154" spans="1:10" x14ac:dyDescent="0.25">
      <c r="A154" s="1" t="s">
        <v>53</v>
      </c>
      <c r="B154" s="2" t="s">
        <v>54</v>
      </c>
      <c r="C154" s="5" t="s">
        <v>55</v>
      </c>
      <c r="D154" s="12" t="s">
        <v>289</v>
      </c>
      <c r="E154" s="6">
        <v>21</v>
      </c>
      <c r="F154" s="1">
        <v>74</v>
      </c>
      <c r="G154" s="6"/>
      <c r="H154" s="21"/>
      <c r="I154" s="6"/>
      <c r="J154" s="1">
        <v>0</v>
      </c>
    </row>
    <row r="155" spans="1:10" x14ac:dyDescent="0.25">
      <c r="A155" s="1" t="s">
        <v>53</v>
      </c>
      <c r="B155" s="2" t="s">
        <v>54</v>
      </c>
      <c r="C155" s="5" t="s">
        <v>55</v>
      </c>
      <c r="D155" s="12" t="s">
        <v>290</v>
      </c>
      <c r="E155" s="6">
        <v>22</v>
      </c>
      <c r="F155" s="1">
        <v>107</v>
      </c>
      <c r="G155" s="6"/>
      <c r="H155" s="21"/>
      <c r="I155" s="6">
        <v>26.5</v>
      </c>
      <c r="J155" s="1">
        <f>AVERAGE(4.4,0)</f>
        <v>2.2000000000000002</v>
      </c>
    </row>
    <row r="156" spans="1:10" x14ac:dyDescent="0.25">
      <c r="A156" s="1" t="s">
        <v>53</v>
      </c>
      <c r="B156" s="2" t="s">
        <v>54</v>
      </c>
      <c r="C156" s="5" t="s">
        <v>55</v>
      </c>
      <c r="D156" s="12" t="s">
        <v>291</v>
      </c>
      <c r="E156" s="6">
        <v>31</v>
      </c>
      <c r="F156" s="1">
        <v>96</v>
      </c>
      <c r="G156" s="6"/>
      <c r="H156" s="21"/>
      <c r="I156" s="6"/>
      <c r="J156" s="1"/>
    </row>
    <row r="157" spans="1:10" x14ac:dyDescent="0.25">
      <c r="A157" s="1" t="s">
        <v>53</v>
      </c>
      <c r="B157" s="2" t="s">
        <v>54</v>
      </c>
      <c r="C157" s="5" t="s">
        <v>55</v>
      </c>
      <c r="D157" s="12" t="s">
        <v>292</v>
      </c>
      <c r="E157" s="6">
        <v>35</v>
      </c>
      <c r="F157" s="1">
        <v>89</v>
      </c>
      <c r="G157" s="6"/>
      <c r="H157" s="21"/>
      <c r="I157" s="6"/>
      <c r="J157" s="1">
        <v>0</v>
      </c>
    </row>
    <row r="158" spans="1:10" x14ac:dyDescent="0.25">
      <c r="A158" s="1" t="s">
        <v>53</v>
      </c>
      <c r="B158" s="2" t="s">
        <v>54</v>
      </c>
      <c r="C158" s="5" t="s">
        <v>55</v>
      </c>
      <c r="D158" s="12" t="s">
        <v>293</v>
      </c>
      <c r="E158" s="6"/>
      <c r="F158" s="1">
        <v>47</v>
      </c>
      <c r="G158" s="6"/>
      <c r="H158" s="21"/>
      <c r="I158" s="6"/>
      <c r="J158" s="1">
        <v>0</v>
      </c>
    </row>
    <row r="159" spans="1:10" x14ac:dyDescent="0.25">
      <c r="A159" s="1" t="s">
        <v>56</v>
      </c>
      <c r="B159" s="2" t="s">
        <v>57</v>
      </c>
      <c r="C159" s="1" t="s">
        <v>58</v>
      </c>
      <c r="D159" s="12" t="s">
        <v>294</v>
      </c>
      <c r="E159" s="6">
        <v>42</v>
      </c>
      <c r="F159" s="1">
        <v>75</v>
      </c>
      <c r="G159" s="6"/>
      <c r="H159" s="21"/>
      <c r="I159" s="6">
        <v>37</v>
      </c>
      <c r="J159" s="1">
        <f>AVERAGE(5,0)</f>
        <v>2.5</v>
      </c>
    </row>
    <row r="160" spans="1:10" x14ac:dyDescent="0.25">
      <c r="A160" s="1" t="s">
        <v>56</v>
      </c>
      <c r="B160" s="2" t="s">
        <v>57</v>
      </c>
      <c r="C160" s="1" t="s">
        <v>58</v>
      </c>
      <c r="D160" s="12" t="s">
        <v>295</v>
      </c>
      <c r="E160" s="6">
        <v>32</v>
      </c>
      <c r="F160" s="1">
        <v>66</v>
      </c>
      <c r="G160" s="6"/>
      <c r="H160" s="21"/>
      <c r="I160" s="6"/>
      <c r="J160" s="1"/>
    </row>
    <row r="161" spans="1:10" x14ac:dyDescent="0.25">
      <c r="A161" s="1" t="s">
        <v>56</v>
      </c>
      <c r="B161" s="2" t="s">
        <v>57</v>
      </c>
      <c r="C161" s="1" t="s">
        <v>58</v>
      </c>
      <c r="D161" s="12" t="s">
        <v>296</v>
      </c>
      <c r="E161" s="6">
        <v>60</v>
      </c>
      <c r="F161" s="1">
        <v>80</v>
      </c>
      <c r="G161" s="6"/>
      <c r="H161" s="21"/>
      <c r="I161" s="6">
        <v>55</v>
      </c>
      <c r="J161" s="1">
        <f>AVERAGE(8.6, 0)</f>
        <v>4.3</v>
      </c>
    </row>
    <row r="162" spans="1:10" x14ac:dyDescent="0.25">
      <c r="A162" s="1" t="s">
        <v>56</v>
      </c>
      <c r="B162" s="2" t="s">
        <v>57</v>
      </c>
      <c r="C162" s="1" t="s">
        <v>58</v>
      </c>
      <c r="D162" s="12" t="s">
        <v>297</v>
      </c>
      <c r="E162" s="6">
        <v>50</v>
      </c>
      <c r="F162" s="1">
        <v>76</v>
      </c>
      <c r="G162" s="6"/>
      <c r="H162" s="21"/>
      <c r="I162" s="6"/>
      <c r="J162" s="1"/>
    </row>
    <row r="163" spans="1:10" x14ac:dyDescent="0.25">
      <c r="A163" s="1" t="s">
        <v>56</v>
      </c>
      <c r="B163" s="2" t="s">
        <v>57</v>
      </c>
      <c r="C163" s="1" t="s">
        <v>58</v>
      </c>
      <c r="D163" s="12" t="s">
        <v>298</v>
      </c>
      <c r="E163" s="6">
        <v>48</v>
      </c>
      <c r="F163" s="1">
        <v>87</v>
      </c>
      <c r="G163" s="6"/>
      <c r="H163" s="21"/>
      <c r="I163" s="6">
        <v>46</v>
      </c>
      <c r="J163" s="1">
        <f>AVERAGE(5,6.2)</f>
        <v>5.6</v>
      </c>
    </row>
    <row r="164" spans="1:10" x14ac:dyDescent="0.25">
      <c r="A164" s="1" t="s">
        <v>56</v>
      </c>
      <c r="B164" s="2" t="s">
        <v>57</v>
      </c>
      <c r="C164" s="1" t="s">
        <v>58</v>
      </c>
      <c r="D164" s="12" t="s">
        <v>299</v>
      </c>
      <c r="E164" s="6">
        <v>44</v>
      </c>
      <c r="F164" s="1">
        <v>86</v>
      </c>
      <c r="G164" s="6"/>
      <c r="H164" s="21"/>
      <c r="I164" s="6"/>
      <c r="J164" s="1"/>
    </row>
    <row r="165" spans="1:10" x14ac:dyDescent="0.25">
      <c r="A165" s="1" t="s">
        <v>56</v>
      </c>
      <c r="B165" s="2" t="s">
        <v>57</v>
      </c>
      <c r="C165" s="1" t="s">
        <v>58</v>
      </c>
      <c r="D165" s="12" t="s">
        <v>300</v>
      </c>
      <c r="E165" s="6">
        <v>36</v>
      </c>
      <c r="F165" s="1">
        <v>88</v>
      </c>
      <c r="G165" s="6"/>
      <c r="H165" s="21"/>
      <c r="I165" s="6">
        <v>38.5</v>
      </c>
      <c r="J165" s="1">
        <f>AVERAGE(0,2)</f>
        <v>1</v>
      </c>
    </row>
    <row r="166" spans="1:10" x14ac:dyDescent="0.25">
      <c r="A166" s="1" t="s">
        <v>56</v>
      </c>
      <c r="B166" s="2" t="s">
        <v>57</v>
      </c>
      <c r="C166" s="1" t="s">
        <v>58</v>
      </c>
      <c r="D166" s="12" t="s">
        <v>301</v>
      </c>
      <c r="E166" s="6">
        <v>41</v>
      </c>
      <c r="F166" s="1">
        <v>72</v>
      </c>
      <c r="G166" s="6"/>
      <c r="H166" s="21"/>
      <c r="I166" s="6"/>
      <c r="J166" s="1"/>
    </row>
    <row r="167" spans="1:10" x14ac:dyDescent="0.25">
      <c r="A167" s="1" t="s">
        <v>56</v>
      </c>
      <c r="B167" s="2" t="s">
        <v>57</v>
      </c>
      <c r="C167" s="1" t="s">
        <v>58</v>
      </c>
      <c r="D167" s="12" t="s">
        <v>285</v>
      </c>
      <c r="E167" s="6">
        <v>43</v>
      </c>
      <c r="F167" s="1">
        <v>58</v>
      </c>
      <c r="G167" s="6"/>
      <c r="H167" s="21"/>
      <c r="I167" s="6"/>
      <c r="J167" s="1">
        <v>0</v>
      </c>
    </row>
    <row r="168" spans="1:10" x14ac:dyDescent="0.25">
      <c r="A168" s="1" t="s">
        <v>56</v>
      </c>
      <c r="B168" s="2" t="s">
        <v>57</v>
      </c>
      <c r="C168" s="1" t="s">
        <v>58</v>
      </c>
      <c r="D168" s="12" t="s">
        <v>293</v>
      </c>
      <c r="E168" s="6"/>
      <c r="F168" s="1">
        <v>55</v>
      </c>
      <c r="G168" s="6"/>
      <c r="H168" s="21"/>
      <c r="I168" s="6"/>
      <c r="J168" s="1">
        <v>0</v>
      </c>
    </row>
    <row r="169" spans="1:10" x14ac:dyDescent="0.25">
      <c r="A169" s="1" t="s">
        <v>59</v>
      </c>
      <c r="B169" s="2" t="s">
        <v>60</v>
      </c>
      <c r="C169" s="5">
        <v>1475</v>
      </c>
      <c r="D169" s="12" t="s">
        <v>302</v>
      </c>
      <c r="E169" s="6">
        <v>55</v>
      </c>
      <c r="F169" s="1">
        <v>101</v>
      </c>
      <c r="G169" s="6"/>
      <c r="H169" s="21"/>
      <c r="I169" s="6"/>
      <c r="J169" s="1">
        <v>0</v>
      </c>
    </row>
    <row r="170" spans="1:10" x14ac:dyDescent="0.25">
      <c r="A170" s="1" t="s">
        <v>59</v>
      </c>
      <c r="B170" s="2" t="s">
        <v>60</v>
      </c>
      <c r="C170" s="5">
        <v>1475</v>
      </c>
      <c r="D170" s="12" t="s">
        <v>303</v>
      </c>
      <c r="E170" s="6">
        <v>52</v>
      </c>
      <c r="F170" s="1">
        <v>107</v>
      </c>
      <c r="G170" s="6"/>
      <c r="H170" s="21"/>
      <c r="I170" s="6">
        <v>48.5</v>
      </c>
      <c r="J170" s="5">
        <v>0</v>
      </c>
    </row>
    <row r="171" spans="1:10" x14ac:dyDescent="0.25">
      <c r="A171" s="1" t="s">
        <v>59</v>
      </c>
      <c r="B171" s="2" t="s">
        <v>60</v>
      </c>
      <c r="C171" s="5">
        <v>1475</v>
      </c>
      <c r="D171" s="12" t="s">
        <v>304</v>
      </c>
      <c r="E171" s="6">
        <v>45</v>
      </c>
      <c r="F171" s="1">
        <v>105</v>
      </c>
      <c r="G171" s="6"/>
      <c r="H171" s="21"/>
      <c r="I171" s="6"/>
      <c r="J171" s="5">
        <v>0</v>
      </c>
    </row>
    <row r="172" spans="1:10" x14ac:dyDescent="0.25">
      <c r="A172" s="1" t="s">
        <v>59</v>
      </c>
      <c r="B172" s="2" t="s">
        <v>60</v>
      </c>
      <c r="C172" s="5">
        <v>1475</v>
      </c>
      <c r="D172" s="12" t="s">
        <v>305</v>
      </c>
      <c r="E172" s="6">
        <v>44</v>
      </c>
      <c r="F172" s="1">
        <v>96</v>
      </c>
      <c r="G172" s="6"/>
      <c r="H172" s="21"/>
      <c r="I172" s="6">
        <v>55</v>
      </c>
      <c r="J172" s="1">
        <f>AVERAGE(14,0)</f>
        <v>7</v>
      </c>
    </row>
    <row r="173" spans="1:10" x14ac:dyDescent="0.25">
      <c r="A173" s="1" t="s">
        <v>59</v>
      </c>
      <c r="B173" s="2" t="s">
        <v>60</v>
      </c>
      <c r="C173" s="5">
        <v>1475</v>
      </c>
      <c r="D173" s="12" t="s">
        <v>306</v>
      </c>
      <c r="E173" s="6">
        <v>66</v>
      </c>
      <c r="F173" s="1">
        <v>121</v>
      </c>
      <c r="G173" s="6"/>
      <c r="H173" s="21"/>
      <c r="I173" s="6"/>
      <c r="J173" s="1"/>
    </row>
    <row r="174" spans="1:10" x14ac:dyDescent="0.25">
      <c r="A174" s="1" t="s">
        <v>59</v>
      </c>
      <c r="B174" s="2" t="s">
        <v>60</v>
      </c>
      <c r="C174" s="5">
        <v>1475</v>
      </c>
      <c r="D174" s="12" t="s">
        <v>307</v>
      </c>
      <c r="E174" s="6">
        <v>40</v>
      </c>
      <c r="F174" s="1">
        <v>112</v>
      </c>
      <c r="G174" s="6"/>
      <c r="H174" s="21"/>
      <c r="I174" s="6"/>
      <c r="J174" s="1">
        <v>0</v>
      </c>
    </row>
    <row r="175" spans="1:10" x14ac:dyDescent="0.25">
      <c r="A175" s="1" t="s">
        <v>59</v>
      </c>
      <c r="B175" s="2" t="s">
        <v>60</v>
      </c>
      <c r="C175" s="5">
        <v>1475</v>
      </c>
      <c r="D175" s="12" t="s">
        <v>235</v>
      </c>
      <c r="E175" s="6"/>
      <c r="F175" s="1">
        <v>101</v>
      </c>
      <c r="G175" s="6"/>
      <c r="H175" s="21"/>
      <c r="I175" s="6"/>
      <c r="J175" s="1">
        <v>0</v>
      </c>
    </row>
    <row r="176" spans="1:10" x14ac:dyDescent="0.25">
      <c r="A176" s="1" t="s">
        <v>61</v>
      </c>
      <c r="B176" s="1" t="s">
        <v>62</v>
      </c>
      <c r="C176" s="1">
        <v>1641</v>
      </c>
      <c r="D176" s="12" t="s">
        <v>308</v>
      </c>
      <c r="E176" s="6">
        <v>12</v>
      </c>
      <c r="F176" s="1">
        <v>68</v>
      </c>
      <c r="G176" s="6"/>
      <c r="H176" s="21"/>
      <c r="I176" s="6">
        <v>16</v>
      </c>
      <c r="J176" s="1">
        <f>AVERAGE(32,0)</f>
        <v>16</v>
      </c>
    </row>
    <row r="177" spans="1:10" x14ac:dyDescent="0.25">
      <c r="A177" s="1" t="s">
        <v>61</v>
      </c>
      <c r="B177" s="1" t="s">
        <v>62</v>
      </c>
      <c r="C177" s="1">
        <v>1641</v>
      </c>
      <c r="D177" s="12" t="s">
        <v>309</v>
      </c>
      <c r="E177" s="6">
        <v>20</v>
      </c>
      <c r="F177" s="1">
        <v>62</v>
      </c>
      <c r="G177" s="6"/>
      <c r="H177" s="21"/>
      <c r="I177" s="6"/>
      <c r="J177" s="1"/>
    </row>
    <row r="178" spans="1:10" x14ac:dyDescent="0.25">
      <c r="A178" s="1"/>
      <c r="B178" s="2"/>
      <c r="C178" s="5"/>
      <c r="E178" s="1"/>
      <c r="F178" s="6"/>
      <c r="G178" s="6"/>
      <c r="H178" s="1"/>
      <c r="I178" s="1"/>
      <c r="J178" s="1"/>
    </row>
    <row r="179" spans="1:10" x14ac:dyDescent="0.25">
      <c r="A179" s="1"/>
      <c r="B179" s="2"/>
      <c r="C179" s="5"/>
      <c r="E179" s="1"/>
      <c r="F179" s="6"/>
      <c r="G179" s="6"/>
      <c r="H179" s="1"/>
      <c r="I179" s="1"/>
      <c r="J179" s="1"/>
    </row>
    <row r="180" spans="1:10" x14ac:dyDescent="0.25">
      <c r="A180" s="1"/>
      <c r="B180" s="2"/>
      <c r="C180" s="5"/>
      <c r="E180" s="1"/>
      <c r="F180" s="6"/>
      <c r="G180" s="6"/>
      <c r="H180" s="1"/>
      <c r="I180" s="1"/>
      <c r="J180" s="1"/>
    </row>
    <row r="181" spans="1:10" x14ac:dyDescent="0.25">
      <c r="A181" s="1"/>
      <c r="B181" s="1"/>
      <c r="C181" s="1"/>
      <c r="E181" s="1"/>
      <c r="F181" s="6"/>
      <c r="G181" s="6"/>
      <c r="H181" s="1"/>
      <c r="I181" s="1"/>
      <c r="J181" s="1"/>
    </row>
    <row r="182" spans="1:10" x14ac:dyDescent="0.25">
      <c r="A182" s="1"/>
      <c r="B182" s="1"/>
      <c r="C182" s="1"/>
      <c r="E182" s="1"/>
      <c r="F182" s="6"/>
      <c r="G182" s="6"/>
      <c r="H182" s="1"/>
      <c r="I182" s="1"/>
      <c r="J182" s="1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87EE-F78D-4ED1-8877-2598774236A1}">
  <dimension ref="A1:E1399"/>
  <sheetViews>
    <sheetView topLeftCell="A1363" workbookViewId="0">
      <selection activeCell="G10" sqref="G10"/>
    </sheetView>
  </sheetViews>
  <sheetFormatPr defaultColWidth="8.85546875" defaultRowHeight="15" x14ac:dyDescent="0.25"/>
  <cols>
    <col min="1" max="1" width="16.140625" style="15" customWidth="1"/>
    <col min="2" max="2" width="11.28515625" style="15" bestFit="1" customWidth="1"/>
    <col min="3" max="3" width="4.5703125" style="15" bestFit="1" customWidth="1"/>
    <col min="4" max="4" width="26.7109375" style="15" bestFit="1" customWidth="1"/>
    <col min="5" max="5" width="11.28515625" style="15" bestFit="1" customWidth="1"/>
    <col min="6" max="16384" width="8.85546875" style="15"/>
  </cols>
  <sheetData>
    <row r="1" spans="1:5" x14ac:dyDescent="0.25">
      <c r="A1" s="15" t="s">
        <v>1</v>
      </c>
      <c r="B1" s="15" t="s">
        <v>3</v>
      </c>
      <c r="C1" s="15" t="s">
        <v>63</v>
      </c>
      <c r="D1" s="15" t="s">
        <v>64</v>
      </c>
      <c r="E1" s="15" t="s">
        <v>65</v>
      </c>
    </row>
    <row r="2" spans="1:5" x14ac:dyDescent="0.25">
      <c r="A2" s="15" t="s">
        <v>6</v>
      </c>
      <c r="B2" s="17">
        <v>44995</v>
      </c>
      <c r="C2" s="18">
        <v>1</v>
      </c>
      <c r="D2" s="15" t="s">
        <v>66</v>
      </c>
      <c r="E2" s="15">
        <v>12</v>
      </c>
    </row>
    <row r="3" spans="1:5" x14ac:dyDescent="0.25">
      <c r="A3" s="15" t="s">
        <v>6</v>
      </c>
      <c r="B3" s="17">
        <v>44995</v>
      </c>
      <c r="C3" s="18">
        <v>1</v>
      </c>
      <c r="D3" s="15" t="s">
        <v>67</v>
      </c>
      <c r="E3" s="15">
        <v>2</v>
      </c>
    </row>
    <row r="4" spans="1:5" x14ac:dyDescent="0.25">
      <c r="A4" s="15" t="s">
        <v>6</v>
      </c>
      <c r="B4" s="17">
        <v>44995</v>
      </c>
      <c r="C4" s="18">
        <v>1</v>
      </c>
      <c r="D4" s="15" t="s">
        <v>68</v>
      </c>
      <c r="E4" s="15">
        <v>1</v>
      </c>
    </row>
    <row r="5" spans="1:5" x14ac:dyDescent="0.25">
      <c r="A5" s="15" t="s">
        <v>6</v>
      </c>
      <c r="B5" s="17">
        <v>44995</v>
      </c>
      <c r="C5" s="18">
        <v>1</v>
      </c>
      <c r="D5" s="15" t="s">
        <v>69</v>
      </c>
      <c r="E5" s="15">
        <v>3</v>
      </c>
    </row>
    <row r="6" spans="1:5" x14ac:dyDescent="0.25">
      <c r="A6" s="15" t="s">
        <v>6</v>
      </c>
      <c r="B6" s="17">
        <v>44995</v>
      </c>
      <c r="C6" s="18">
        <v>1</v>
      </c>
      <c r="D6" s="15" t="s">
        <v>70</v>
      </c>
      <c r="E6" s="15">
        <v>1</v>
      </c>
    </row>
    <row r="7" spans="1:5" x14ac:dyDescent="0.25">
      <c r="A7" s="15" t="s">
        <v>6</v>
      </c>
      <c r="B7" s="17">
        <v>44995</v>
      </c>
      <c r="C7" s="18">
        <v>1</v>
      </c>
      <c r="D7" s="15" t="s">
        <v>71</v>
      </c>
      <c r="E7" s="15">
        <v>1</v>
      </c>
    </row>
    <row r="8" spans="1:5" x14ac:dyDescent="0.25">
      <c r="A8" s="15" t="s">
        <v>6</v>
      </c>
      <c r="B8" s="17">
        <v>44995</v>
      </c>
      <c r="C8" s="18">
        <v>1</v>
      </c>
      <c r="D8" s="15" t="s">
        <v>72</v>
      </c>
      <c r="E8" s="15">
        <v>26</v>
      </c>
    </row>
    <row r="9" spans="1:5" x14ac:dyDescent="0.25">
      <c r="A9" s="15" t="s">
        <v>6</v>
      </c>
      <c r="B9" s="17">
        <v>44995</v>
      </c>
      <c r="C9" s="18">
        <v>1</v>
      </c>
      <c r="D9" s="15" t="s">
        <v>73</v>
      </c>
      <c r="E9" s="15">
        <v>1</v>
      </c>
    </row>
    <row r="10" spans="1:5" x14ac:dyDescent="0.25">
      <c r="A10" s="15" t="s">
        <v>6</v>
      </c>
      <c r="B10" s="17">
        <v>44995</v>
      </c>
      <c r="C10" s="18">
        <v>1</v>
      </c>
      <c r="D10" s="15" t="s">
        <v>74</v>
      </c>
      <c r="E10" s="15">
        <v>1</v>
      </c>
    </row>
    <row r="11" spans="1:5" x14ac:dyDescent="0.25">
      <c r="A11" s="15" t="s">
        <v>6</v>
      </c>
      <c r="B11" s="17">
        <v>44995</v>
      </c>
      <c r="C11" s="18">
        <v>1</v>
      </c>
      <c r="D11" s="15" t="s">
        <v>75</v>
      </c>
      <c r="E11" s="15">
        <v>1</v>
      </c>
    </row>
    <row r="12" spans="1:5" x14ac:dyDescent="0.25">
      <c r="A12" s="15" t="s">
        <v>6</v>
      </c>
      <c r="B12" s="17">
        <v>44995</v>
      </c>
      <c r="C12" s="18">
        <v>1</v>
      </c>
      <c r="D12" s="15" t="s">
        <v>76</v>
      </c>
      <c r="E12" s="15">
        <v>3</v>
      </c>
    </row>
    <row r="13" spans="1:5" x14ac:dyDescent="0.25">
      <c r="A13" s="15" t="s">
        <v>6</v>
      </c>
      <c r="B13" s="17">
        <v>44995</v>
      </c>
      <c r="C13" s="18">
        <v>1</v>
      </c>
      <c r="D13" s="15" t="s">
        <v>77</v>
      </c>
      <c r="E13" s="15">
        <v>10</v>
      </c>
    </row>
    <row r="14" spans="1:5" x14ac:dyDescent="0.25">
      <c r="A14" s="15" t="s">
        <v>6</v>
      </c>
      <c r="B14" s="17">
        <v>44995</v>
      </c>
      <c r="C14" s="18">
        <v>1</v>
      </c>
      <c r="D14" s="15" t="s">
        <v>78</v>
      </c>
      <c r="E14" s="15">
        <v>3</v>
      </c>
    </row>
    <row r="15" spans="1:5" x14ac:dyDescent="0.25">
      <c r="A15" s="15" t="s">
        <v>6</v>
      </c>
      <c r="B15" s="17">
        <v>44995</v>
      </c>
      <c r="C15" s="18">
        <v>1</v>
      </c>
      <c r="D15" s="15" t="s">
        <v>79</v>
      </c>
      <c r="E15" s="15">
        <v>7</v>
      </c>
    </row>
    <row r="16" spans="1:5" x14ac:dyDescent="0.25">
      <c r="A16" s="15" t="s">
        <v>6</v>
      </c>
      <c r="B16" s="17">
        <v>44995</v>
      </c>
      <c r="C16" s="18">
        <v>1</v>
      </c>
      <c r="D16" s="15" t="s">
        <v>80</v>
      </c>
      <c r="E16" s="15">
        <v>21</v>
      </c>
    </row>
    <row r="17" spans="1:5" x14ac:dyDescent="0.25">
      <c r="A17" s="15" t="s">
        <v>6</v>
      </c>
      <c r="B17" s="17">
        <v>44995</v>
      </c>
      <c r="C17" s="18">
        <v>1</v>
      </c>
      <c r="D17" s="15" t="s">
        <v>81</v>
      </c>
      <c r="E17" s="15">
        <v>1</v>
      </c>
    </row>
    <row r="18" spans="1:5" x14ac:dyDescent="0.25">
      <c r="A18" s="15" t="s">
        <v>6</v>
      </c>
      <c r="B18" s="17">
        <v>44995</v>
      </c>
      <c r="C18" s="18">
        <v>1</v>
      </c>
      <c r="D18" s="15" t="s">
        <v>82</v>
      </c>
      <c r="E18" s="15">
        <v>1</v>
      </c>
    </row>
    <row r="19" spans="1:5" x14ac:dyDescent="0.25">
      <c r="A19" s="15" t="s">
        <v>6</v>
      </c>
      <c r="B19" s="17">
        <v>44995</v>
      </c>
      <c r="C19" s="18">
        <v>1</v>
      </c>
      <c r="D19" s="15" t="s">
        <v>83</v>
      </c>
      <c r="E19" s="15">
        <v>32</v>
      </c>
    </row>
    <row r="20" spans="1:5" x14ac:dyDescent="0.25">
      <c r="A20" s="15" t="s">
        <v>6</v>
      </c>
      <c r="B20" s="17">
        <v>44995</v>
      </c>
      <c r="C20" s="18">
        <v>1</v>
      </c>
      <c r="D20" s="15" t="s">
        <v>84</v>
      </c>
      <c r="E20" s="15">
        <v>2</v>
      </c>
    </row>
    <row r="21" spans="1:5" x14ac:dyDescent="0.25">
      <c r="A21" s="15" t="s">
        <v>6</v>
      </c>
      <c r="B21" s="17">
        <v>44995</v>
      </c>
      <c r="C21" s="18">
        <v>1</v>
      </c>
      <c r="D21" s="15" t="s">
        <v>85</v>
      </c>
      <c r="E21" s="15">
        <v>9</v>
      </c>
    </row>
    <row r="22" spans="1:5" x14ac:dyDescent="0.25">
      <c r="A22" s="15" t="s">
        <v>6</v>
      </c>
      <c r="B22" s="17">
        <v>44995</v>
      </c>
      <c r="C22" s="18">
        <v>1</v>
      </c>
      <c r="D22" s="15" t="s">
        <v>86</v>
      </c>
      <c r="E22" s="15">
        <v>1</v>
      </c>
    </row>
    <row r="23" spans="1:5" x14ac:dyDescent="0.25">
      <c r="A23" s="15" t="s">
        <v>6</v>
      </c>
      <c r="B23" s="17">
        <v>44995</v>
      </c>
      <c r="C23" s="18">
        <v>1</v>
      </c>
      <c r="D23" s="15" t="s">
        <v>87</v>
      </c>
      <c r="E23" s="15">
        <v>1</v>
      </c>
    </row>
    <row r="24" spans="1:5" x14ac:dyDescent="0.25">
      <c r="A24" s="15" t="s">
        <v>6</v>
      </c>
      <c r="B24" s="17">
        <v>44995</v>
      </c>
      <c r="C24" s="18">
        <v>1</v>
      </c>
      <c r="D24" s="15" t="s">
        <v>88</v>
      </c>
      <c r="E24" s="15">
        <v>1</v>
      </c>
    </row>
    <row r="25" spans="1:5" x14ac:dyDescent="0.25">
      <c r="A25" s="15" t="s">
        <v>6</v>
      </c>
      <c r="B25" s="17">
        <v>44995</v>
      </c>
      <c r="C25" s="18">
        <v>2</v>
      </c>
      <c r="D25" s="19" t="s">
        <v>66</v>
      </c>
      <c r="E25" s="19">
        <v>10</v>
      </c>
    </row>
    <row r="26" spans="1:5" x14ac:dyDescent="0.25">
      <c r="A26" s="15" t="s">
        <v>6</v>
      </c>
      <c r="B26" s="17">
        <v>44995</v>
      </c>
      <c r="C26" s="18">
        <v>2</v>
      </c>
      <c r="D26" s="19" t="s">
        <v>89</v>
      </c>
      <c r="E26" s="19">
        <v>3</v>
      </c>
    </row>
    <row r="27" spans="1:5" x14ac:dyDescent="0.25">
      <c r="A27" s="15" t="s">
        <v>6</v>
      </c>
      <c r="B27" s="17">
        <v>44995</v>
      </c>
      <c r="C27" s="18">
        <v>2</v>
      </c>
      <c r="D27" s="19" t="s">
        <v>67</v>
      </c>
      <c r="E27" s="19">
        <v>1</v>
      </c>
    </row>
    <row r="28" spans="1:5" x14ac:dyDescent="0.25">
      <c r="A28" s="15" t="s">
        <v>6</v>
      </c>
      <c r="B28" s="17">
        <v>44995</v>
      </c>
      <c r="C28" s="18">
        <v>2</v>
      </c>
      <c r="D28" s="19" t="s">
        <v>90</v>
      </c>
      <c r="E28" s="19">
        <v>2</v>
      </c>
    </row>
    <row r="29" spans="1:5" x14ac:dyDescent="0.25">
      <c r="A29" s="15" t="s">
        <v>6</v>
      </c>
      <c r="B29" s="17">
        <v>44995</v>
      </c>
      <c r="C29" s="18">
        <v>2</v>
      </c>
      <c r="D29" s="19" t="s">
        <v>68</v>
      </c>
      <c r="E29" s="19">
        <v>1</v>
      </c>
    </row>
    <row r="30" spans="1:5" x14ac:dyDescent="0.25">
      <c r="A30" s="15" t="s">
        <v>6</v>
      </c>
      <c r="B30" s="17">
        <v>44995</v>
      </c>
      <c r="C30" s="18">
        <v>2</v>
      </c>
      <c r="D30" s="19" t="s">
        <v>69</v>
      </c>
      <c r="E30" s="19">
        <v>2</v>
      </c>
    </row>
    <row r="31" spans="1:5" x14ac:dyDescent="0.25">
      <c r="A31" s="15" t="s">
        <v>6</v>
      </c>
      <c r="B31" s="17">
        <v>44995</v>
      </c>
      <c r="C31" s="18">
        <v>2</v>
      </c>
      <c r="D31" s="19" t="s">
        <v>72</v>
      </c>
      <c r="E31" s="19">
        <v>36</v>
      </c>
    </row>
    <row r="32" spans="1:5" x14ac:dyDescent="0.25">
      <c r="A32" s="15" t="s">
        <v>6</v>
      </c>
      <c r="B32" s="17">
        <v>44995</v>
      </c>
      <c r="C32" s="18">
        <v>2</v>
      </c>
      <c r="D32" s="19" t="s">
        <v>73</v>
      </c>
      <c r="E32" s="19">
        <v>2</v>
      </c>
    </row>
    <row r="33" spans="1:5" x14ac:dyDescent="0.25">
      <c r="A33" s="15" t="s">
        <v>6</v>
      </c>
      <c r="B33" s="17">
        <v>44995</v>
      </c>
      <c r="C33" s="18">
        <v>2</v>
      </c>
      <c r="D33" s="19" t="s">
        <v>91</v>
      </c>
      <c r="E33" s="19">
        <v>2</v>
      </c>
    </row>
    <row r="34" spans="1:5" x14ac:dyDescent="0.25">
      <c r="A34" s="15" t="s">
        <v>6</v>
      </c>
      <c r="B34" s="17">
        <v>44995</v>
      </c>
      <c r="C34" s="18">
        <v>2</v>
      </c>
      <c r="D34" s="19" t="s">
        <v>75</v>
      </c>
      <c r="E34" s="19">
        <v>1</v>
      </c>
    </row>
    <row r="35" spans="1:5" x14ac:dyDescent="0.25">
      <c r="A35" s="15" t="s">
        <v>6</v>
      </c>
      <c r="B35" s="17">
        <v>44995</v>
      </c>
      <c r="C35" s="18">
        <v>2</v>
      </c>
      <c r="D35" s="19" t="s">
        <v>77</v>
      </c>
      <c r="E35" s="19">
        <v>16</v>
      </c>
    </row>
    <row r="36" spans="1:5" x14ac:dyDescent="0.25">
      <c r="A36" s="15" t="s">
        <v>6</v>
      </c>
      <c r="B36" s="17">
        <v>44995</v>
      </c>
      <c r="C36" s="18">
        <v>2</v>
      </c>
      <c r="D36" s="19" t="s">
        <v>78</v>
      </c>
      <c r="E36" s="19">
        <v>4</v>
      </c>
    </row>
    <row r="37" spans="1:5" x14ac:dyDescent="0.25">
      <c r="A37" s="15" t="s">
        <v>6</v>
      </c>
      <c r="B37" s="17">
        <v>44995</v>
      </c>
      <c r="C37" s="18">
        <v>2</v>
      </c>
      <c r="D37" s="19" t="s">
        <v>79</v>
      </c>
      <c r="E37" s="19">
        <v>10</v>
      </c>
    </row>
    <row r="38" spans="1:5" x14ac:dyDescent="0.25">
      <c r="A38" s="15" t="s">
        <v>6</v>
      </c>
      <c r="B38" s="17">
        <v>44995</v>
      </c>
      <c r="C38" s="18">
        <v>2</v>
      </c>
      <c r="D38" s="19" t="s">
        <v>80</v>
      </c>
      <c r="E38" s="19">
        <v>15</v>
      </c>
    </row>
    <row r="39" spans="1:5" x14ac:dyDescent="0.25">
      <c r="A39" s="15" t="s">
        <v>6</v>
      </c>
      <c r="B39" s="17">
        <v>44995</v>
      </c>
      <c r="C39" s="18">
        <v>2</v>
      </c>
      <c r="D39" s="19" t="s">
        <v>82</v>
      </c>
      <c r="E39" s="19">
        <v>3</v>
      </c>
    </row>
    <row r="40" spans="1:5" x14ac:dyDescent="0.25">
      <c r="A40" s="15" t="s">
        <v>6</v>
      </c>
      <c r="B40" s="17">
        <v>44995</v>
      </c>
      <c r="C40" s="18">
        <v>2</v>
      </c>
      <c r="D40" s="19" t="s">
        <v>92</v>
      </c>
      <c r="E40" s="19">
        <v>1</v>
      </c>
    </row>
    <row r="41" spans="1:5" x14ac:dyDescent="0.25">
      <c r="A41" s="15" t="s">
        <v>6</v>
      </c>
      <c r="B41" s="17">
        <v>44995</v>
      </c>
      <c r="C41" s="18">
        <v>2</v>
      </c>
      <c r="D41" s="19" t="s">
        <v>83</v>
      </c>
      <c r="E41" s="19">
        <v>24</v>
      </c>
    </row>
    <row r="42" spans="1:5" x14ac:dyDescent="0.25">
      <c r="A42" s="15" t="s">
        <v>6</v>
      </c>
      <c r="B42" s="17">
        <v>44995</v>
      </c>
      <c r="C42" s="18">
        <v>2</v>
      </c>
      <c r="D42" s="19" t="s">
        <v>84</v>
      </c>
      <c r="E42" s="19">
        <v>2</v>
      </c>
    </row>
    <row r="43" spans="1:5" x14ac:dyDescent="0.25">
      <c r="A43" s="15" t="s">
        <v>6</v>
      </c>
      <c r="B43" s="17">
        <v>44995</v>
      </c>
      <c r="C43" s="18">
        <v>2</v>
      </c>
      <c r="D43" s="19" t="s">
        <v>85</v>
      </c>
      <c r="E43" s="19">
        <v>5</v>
      </c>
    </row>
    <row r="44" spans="1:5" x14ac:dyDescent="0.25">
      <c r="A44" s="15" t="s">
        <v>6</v>
      </c>
      <c r="B44" s="17">
        <v>44995</v>
      </c>
      <c r="C44" s="18">
        <v>2</v>
      </c>
      <c r="D44" s="19" t="s">
        <v>93</v>
      </c>
      <c r="E44" s="19">
        <v>1</v>
      </c>
    </row>
    <row r="45" spans="1:5" x14ac:dyDescent="0.25">
      <c r="A45" s="15" t="s">
        <v>6</v>
      </c>
      <c r="B45" s="17">
        <v>44995</v>
      </c>
      <c r="C45" s="18">
        <v>2</v>
      </c>
      <c r="D45" s="19" t="s">
        <v>88</v>
      </c>
      <c r="E45" s="19">
        <v>2</v>
      </c>
    </row>
    <row r="46" spans="1:5" x14ac:dyDescent="0.25">
      <c r="A46" s="15" t="s">
        <v>18</v>
      </c>
      <c r="B46" s="17">
        <v>44994</v>
      </c>
      <c r="C46" s="18">
        <v>1</v>
      </c>
      <c r="D46" s="15" t="s">
        <v>94</v>
      </c>
      <c r="E46" s="15">
        <v>1</v>
      </c>
    </row>
    <row r="47" spans="1:5" x14ac:dyDescent="0.25">
      <c r="A47" s="15" t="s">
        <v>18</v>
      </c>
      <c r="B47" s="17">
        <v>44994</v>
      </c>
      <c r="C47" s="18">
        <v>1</v>
      </c>
      <c r="D47" s="15" t="s">
        <v>95</v>
      </c>
      <c r="E47" s="15">
        <v>10</v>
      </c>
    </row>
    <row r="48" spans="1:5" x14ac:dyDescent="0.25">
      <c r="A48" s="15" t="s">
        <v>18</v>
      </c>
      <c r="B48" s="17">
        <v>44994</v>
      </c>
      <c r="C48" s="18">
        <v>1</v>
      </c>
      <c r="D48" s="15" t="s">
        <v>72</v>
      </c>
      <c r="E48" s="15">
        <v>25</v>
      </c>
    </row>
    <row r="49" spans="1:5" x14ac:dyDescent="0.25">
      <c r="A49" s="15" t="s">
        <v>18</v>
      </c>
      <c r="B49" s="17">
        <v>44994</v>
      </c>
      <c r="C49" s="18">
        <v>1</v>
      </c>
      <c r="D49" s="15" t="s">
        <v>96</v>
      </c>
      <c r="E49" s="15">
        <v>2</v>
      </c>
    </row>
    <row r="50" spans="1:5" x14ac:dyDescent="0.25">
      <c r="A50" s="15" t="s">
        <v>18</v>
      </c>
      <c r="B50" s="17">
        <v>44994</v>
      </c>
      <c r="C50" s="18">
        <v>1</v>
      </c>
      <c r="D50" s="15" t="s">
        <v>97</v>
      </c>
      <c r="E50" s="15">
        <v>2</v>
      </c>
    </row>
    <row r="51" spans="1:5" x14ac:dyDescent="0.25">
      <c r="A51" s="15" t="s">
        <v>18</v>
      </c>
      <c r="B51" s="17">
        <v>44994</v>
      </c>
      <c r="C51" s="18">
        <v>1</v>
      </c>
      <c r="D51" s="15" t="s">
        <v>73</v>
      </c>
      <c r="E51" s="15">
        <v>2</v>
      </c>
    </row>
    <row r="52" spans="1:5" x14ac:dyDescent="0.25">
      <c r="A52" s="15" t="s">
        <v>18</v>
      </c>
      <c r="B52" s="17">
        <v>44994</v>
      </c>
      <c r="C52" s="18">
        <v>1</v>
      </c>
      <c r="D52" s="15" t="s">
        <v>74</v>
      </c>
      <c r="E52" s="15">
        <v>1</v>
      </c>
    </row>
    <row r="53" spans="1:5" x14ac:dyDescent="0.25">
      <c r="A53" s="15" t="s">
        <v>18</v>
      </c>
      <c r="B53" s="17">
        <v>44994</v>
      </c>
      <c r="C53" s="18">
        <v>1</v>
      </c>
      <c r="D53" s="15" t="s">
        <v>98</v>
      </c>
      <c r="E53" s="15">
        <v>1</v>
      </c>
    </row>
    <row r="54" spans="1:5" x14ac:dyDescent="0.25">
      <c r="A54" s="15" t="s">
        <v>18</v>
      </c>
      <c r="B54" s="17">
        <v>44994</v>
      </c>
      <c r="C54" s="18">
        <v>1</v>
      </c>
      <c r="D54" s="15" t="s">
        <v>91</v>
      </c>
      <c r="E54" s="15">
        <v>7</v>
      </c>
    </row>
    <row r="55" spans="1:5" x14ac:dyDescent="0.25">
      <c r="A55" s="15" t="s">
        <v>18</v>
      </c>
      <c r="B55" s="17">
        <v>44994</v>
      </c>
      <c r="C55" s="18">
        <v>1</v>
      </c>
      <c r="D55" s="15" t="s">
        <v>75</v>
      </c>
      <c r="E55" s="15">
        <v>1</v>
      </c>
    </row>
    <row r="56" spans="1:5" x14ac:dyDescent="0.25">
      <c r="A56" s="15" t="s">
        <v>18</v>
      </c>
      <c r="B56" s="17">
        <v>44994</v>
      </c>
      <c r="C56" s="18">
        <v>1</v>
      </c>
      <c r="D56" s="15" t="s">
        <v>76</v>
      </c>
      <c r="E56" s="15">
        <v>2</v>
      </c>
    </row>
    <row r="57" spans="1:5" x14ac:dyDescent="0.25">
      <c r="A57" s="15" t="s">
        <v>18</v>
      </c>
      <c r="B57" s="17">
        <v>44994</v>
      </c>
      <c r="C57" s="18">
        <v>1</v>
      </c>
      <c r="D57" s="15" t="s">
        <v>99</v>
      </c>
      <c r="E57" s="15">
        <v>1</v>
      </c>
    </row>
    <row r="58" spans="1:5" x14ac:dyDescent="0.25">
      <c r="A58" s="15" t="s">
        <v>18</v>
      </c>
      <c r="B58" s="17">
        <v>44994</v>
      </c>
      <c r="C58" s="18">
        <v>1</v>
      </c>
      <c r="D58" s="15" t="s">
        <v>100</v>
      </c>
      <c r="E58" s="15">
        <v>1</v>
      </c>
    </row>
    <row r="59" spans="1:5" x14ac:dyDescent="0.25">
      <c r="A59" s="15" t="s">
        <v>18</v>
      </c>
      <c r="B59" s="17">
        <v>44994</v>
      </c>
      <c r="C59" s="18">
        <v>1</v>
      </c>
      <c r="D59" s="15" t="s">
        <v>101</v>
      </c>
      <c r="E59" s="15">
        <v>3</v>
      </c>
    </row>
    <row r="60" spans="1:5" x14ac:dyDescent="0.25">
      <c r="A60" s="15" t="s">
        <v>18</v>
      </c>
      <c r="B60" s="17">
        <v>44994</v>
      </c>
      <c r="C60" s="18">
        <v>1</v>
      </c>
      <c r="D60" s="15" t="s">
        <v>77</v>
      </c>
      <c r="E60" s="15">
        <v>10</v>
      </c>
    </row>
    <row r="61" spans="1:5" x14ac:dyDescent="0.25">
      <c r="A61" s="15" t="s">
        <v>18</v>
      </c>
      <c r="B61" s="17">
        <v>44994</v>
      </c>
      <c r="C61" s="18">
        <v>1</v>
      </c>
      <c r="D61" s="15" t="s">
        <v>102</v>
      </c>
      <c r="E61" s="15">
        <v>4</v>
      </c>
    </row>
    <row r="62" spans="1:5" x14ac:dyDescent="0.25">
      <c r="A62" s="15" t="s">
        <v>18</v>
      </c>
      <c r="B62" s="17">
        <v>44994</v>
      </c>
      <c r="C62" s="18">
        <v>1</v>
      </c>
      <c r="D62" s="15" t="s">
        <v>103</v>
      </c>
      <c r="E62" s="15">
        <v>1</v>
      </c>
    </row>
    <row r="63" spans="1:5" x14ac:dyDescent="0.25">
      <c r="A63" s="15" t="s">
        <v>18</v>
      </c>
      <c r="B63" s="17">
        <v>44994</v>
      </c>
      <c r="C63" s="18">
        <v>1</v>
      </c>
      <c r="D63" s="15" t="s">
        <v>78</v>
      </c>
      <c r="E63" s="15">
        <v>10</v>
      </c>
    </row>
    <row r="64" spans="1:5" x14ac:dyDescent="0.25">
      <c r="A64" s="15" t="s">
        <v>18</v>
      </c>
      <c r="B64" s="17">
        <v>44994</v>
      </c>
      <c r="C64" s="18">
        <v>1</v>
      </c>
      <c r="D64" s="15" t="s">
        <v>104</v>
      </c>
      <c r="E64" s="15">
        <v>8</v>
      </c>
    </row>
    <row r="65" spans="1:5" x14ac:dyDescent="0.25">
      <c r="A65" s="15" t="s">
        <v>18</v>
      </c>
      <c r="B65" s="17">
        <v>44994</v>
      </c>
      <c r="C65" s="18">
        <v>1</v>
      </c>
      <c r="D65" s="15" t="s">
        <v>79</v>
      </c>
      <c r="E65" s="15">
        <v>8</v>
      </c>
    </row>
    <row r="66" spans="1:5" x14ac:dyDescent="0.25">
      <c r="A66" s="15" t="s">
        <v>18</v>
      </c>
      <c r="B66" s="17">
        <v>44994</v>
      </c>
      <c r="C66" s="18">
        <v>1</v>
      </c>
      <c r="D66" s="15" t="s">
        <v>80</v>
      </c>
      <c r="E66" s="15">
        <v>22</v>
      </c>
    </row>
    <row r="67" spans="1:5" x14ac:dyDescent="0.25">
      <c r="A67" s="15" t="s">
        <v>18</v>
      </c>
      <c r="B67" s="17">
        <v>44994</v>
      </c>
      <c r="C67" s="18">
        <v>1</v>
      </c>
      <c r="D67" s="15" t="s">
        <v>105</v>
      </c>
      <c r="E67" s="15">
        <v>1</v>
      </c>
    </row>
    <row r="68" spans="1:5" x14ac:dyDescent="0.25">
      <c r="A68" s="15" t="s">
        <v>18</v>
      </c>
      <c r="B68" s="17">
        <v>44994</v>
      </c>
      <c r="C68" s="18">
        <v>1</v>
      </c>
      <c r="D68" s="15" t="s">
        <v>81</v>
      </c>
      <c r="E68" s="15">
        <v>1</v>
      </c>
    </row>
    <row r="69" spans="1:5" x14ac:dyDescent="0.25">
      <c r="A69" s="15" t="s">
        <v>18</v>
      </c>
      <c r="B69" s="17">
        <v>44994</v>
      </c>
      <c r="C69" s="18">
        <v>1</v>
      </c>
      <c r="D69" s="15" t="s">
        <v>82</v>
      </c>
      <c r="E69" s="15">
        <v>1</v>
      </c>
    </row>
    <row r="70" spans="1:5" x14ac:dyDescent="0.25">
      <c r="A70" s="15" t="s">
        <v>18</v>
      </c>
      <c r="B70" s="17">
        <v>44994</v>
      </c>
      <c r="C70" s="18">
        <v>1</v>
      </c>
      <c r="D70" s="15" t="s">
        <v>106</v>
      </c>
      <c r="E70" s="15">
        <v>2</v>
      </c>
    </row>
    <row r="71" spans="1:5" x14ac:dyDescent="0.25">
      <c r="A71" s="15" t="s">
        <v>18</v>
      </c>
      <c r="B71" s="17">
        <v>44994</v>
      </c>
      <c r="C71" s="18">
        <v>1</v>
      </c>
      <c r="D71" s="15" t="s">
        <v>92</v>
      </c>
      <c r="E71" s="15">
        <v>10</v>
      </c>
    </row>
    <row r="72" spans="1:5" x14ac:dyDescent="0.25">
      <c r="A72" s="15" t="s">
        <v>18</v>
      </c>
      <c r="B72" s="17">
        <v>44994</v>
      </c>
      <c r="C72" s="18">
        <v>1</v>
      </c>
      <c r="D72" s="15" t="s">
        <v>107</v>
      </c>
      <c r="E72" s="15">
        <v>1</v>
      </c>
    </row>
    <row r="73" spans="1:5" x14ac:dyDescent="0.25">
      <c r="A73" s="15" t="s">
        <v>18</v>
      </c>
      <c r="B73" s="17">
        <v>44994</v>
      </c>
      <c r="C73" s="18">
        <v>1</v>
      </c>
      <c r="D73" s="15" t="s">
        <v>83</v>
      </c>
      <c r="E73" s="15">
        <v>4</v>
      </c>
    </row>
    <row r="74" spans="1:5" x14ac:dyDescent="0.25">
      <c r="A74" s="15" t="s">
        <v>18</v>
      </c>
      <c r="B74" s="17">
        <v>44994</v>
      </c>
      <c r="C74" s="18">
        <v>1</v>
      </c>
      <c r="D74" s="15" t="s">
        <v>84</v>
      </c>
      <c r="E74" s="15">
        <v>1</v>
      </c>
    </row>
    <row r="75" spans="1:5" x14ac:dyDescent="0.25">
      <c r="A75" s="15" t="s">
        <v>18</v>
      </c>
      <c r="B75" s="17">
        <v>44994</v>
      </c>
      <c r="C75" s="18">
        <v>1</v>
      </c>
      <c r="D75" s="15" t="s">
        <v>108</v>
      </c>
      <c r="E75" s="15">
        <v>3</v>
      </c>
    </row>
    <row r="76" spans="1:5" x14ac:dyDescent="0.25">
      <c r="A76" s="15" t="s">
        <v>18</v>
      </c>
      <c r="B76" s="17">
        <v>44994</v>
      </c>
      <c r="C76" s="18">
        <v>1</v>
      </c>
      <c r="D76" s="15" t="s">
        <v>109</v>
      </c>
      <c r="E76" s="15">
        <v>1</v>
      </c>
    </row>
    <row r="77" spans="1:5" x14ac:dyDescent="0.25">
      <c r="A77" s="15" t="s">
        <v>18</v>
      </c>
      <c r="B77" s="17">
        <v>44994</v>
      </c>
      <c r="C77" s="18">
        <v>1</v>
      </c>
      <c r="D77" s="15" t="s">
        <v>88</v>
      </c>
      <c r="E77" s="15">
        <v>4</v>
      </c>
    </row>
    <row r="78" spans="1:5" x14ac:dyDescent="0.25">
      <c r="A78" s="15" t="s">
        <v>18</v>
      </c>
      <c r="B78" s="17">
        <v>44994</v>
      </c>
      <c r="C78" s="18">
        <v>1</v>
      </c>
      <c r="D78" s="15" t="s">
        <v>110</v>
      </c>
      <c r="E78" s="15">
        <v>2</v>
      </c>
    </row>
    <row r="79" spans="1:5" x14ac:dyDescent="0.25">
      <c r="A79" s="15" t="s">
        <v>18</v>
      </c>
      <c r="B79" s="17">
        <v>44994</v>
      </c>
      <c r="C79" s="18">
        <v>1</v>
      </c>
      <c r="D79" s="15" t="s">
        <v>111</v>
      </c>
      <c r="E79" s="15">
        <v>1</v>
      </c>
    </row>
    <row r="80" spans="1:5" x14ac:dyDescent="0.25">
      <c r="A80" s="15" t="s">
        <v>18</v>
      </c>
      <c r="B80" s="17">
        <v>44994</v>
      </c>
      <c r="C80" s="15">
        <v>2</v>
      </c>
      <c r="D80" s="15" t="s">
        <v>95</v>
      </c>
      <c r="E80" s="15">
        <v>1</v>
      </c>
    </row>
    <row r="81" spans="1:5" x14ac:dyDescent="0.25">
      <c r="A81" s="15" t="s">
        <v>18</v>
      </c>
      <c r="B81" s="17">
        <v>44994</v>
      </c>
      <c r="C81" s="15">
        <v>2</v>
      </c>
      <c r="D81" s="15" t="s">
        <v>66</v>
      </c>
      <c r="E81" s="15">
        <v>1</v>
      </c>
    </row>
    <row r="82" spans="1:5" x14ac:dyDescent="0.25">
      <c r="A82" s="15" t="s">
        <v>18</v>
      </c>
      <c r="B82" s="17">
        <v>44994</v>
      </c>
      <c r="C82" s="15">
        <v>2</v>
      </c>
      <c r="D82" s="15" t="s">
        <v>112</v>
      </c>
      <c r="E82" s="15">
        <v>1</v>
      </c>
    </row>
    <row r="83" spans="1:5" x14ac:dyDescent="0.25">
      <c r="A83" s="15" t="s">
        <v>18</v>
      </c>
      <c r="B83" s="17">
        <v>44994</v>
      </c>
      <c r="C83" s="15">
        <v>2</v>
      </c>
      <c r="D83" s="15" t="s">
        <v>72</v>
      </c>
      <c r="E83" s="15">
        <v>18</v>
      </c>
    </row>
    <row r="84" spans="1:5" x14ac:dyDescent="0.25">
      <c r="A84" s="15" t="s">
        <v>18</v>
      </c>
      <c r="B84" s="17">
        <v>44994</v>
      </c>
      <c r="C84" s="15">
        <v>2</v>
      </c>
      <c r="D84" s="15" t="s">
        <v>113</v>
      </c>
      <c r="E84" s="15">
        <v>1</v>
      </c>
    </row>
    <row r="85" spans="1:5" x14ac:dyDescent="0.25">
      <c r="A85" s="15" t="s">
        <v>18</v>
      </c>
      <c r="B85" s="17">
        <v>44994</v>
      </c>
      <c r="C85" s="15">
        <v>2</v>
      </c>
      <c r="D85" s="15" t="s">
        <v>114</v>
      </c>
      <c r="E85" s="15">
        <v>1</v>
      </c>
    </row>
    <row r="86" spans="1:5" x14ac:dyDescent="0.25">
      <c r="A86" s="15" t="s">
        <v>18</v>
      </c>
      <c r="B86" s="17">
        <v>44994</v>
      </c>
      <c r="C86" s="15">
        <v>2</v>
      </c>
      <c r="D86" s="15" t="s">
        <v>96</v>
      </c>
      <c r="E86" s="15">
        <v>1</v>
      </c>
    </row>
    <row r="87" spans="1:5" x14ac:dyDescent="0.25">
      <c r="A87" s="15" t="s">
        <v>18</v>
      </c>
      <c r="B87" s="17">
        <v>44994</v>
      </c>
      <c r="C87" s="15">
        <v>2</v>
      </c>
      <c r="D87" s="15" t="s">
        <v>73</v>
      </c>
      <c r="E87" s="15">
        <v>3</v>
      </c>
    </row>
    <row r="88" spans="1:5" x14ac:dyDescent="0.25">
      <c r="A88" s="15" t="s">
        <v>18</v>
      </c>
      <c r="B88" s="17">
        <v>44994</v>
      </c>
      <c r="C88" s="15">
        <v>2</v>
      </c>
      <c r="D88" s="15" t="s">
        <v>74</v>
      </c>
      <c r="E88" s="15">
        <v>1</v>
      </c>
    </row>
    <row r="89" spans="1:5" x14ac:dyDescent="0.25">
      <c r="A89" s="15" t="s">
        <v>18</v>
      </c>
      <c r="B89" s="17">
        <v>44994</v>
      </c>
      <c r="C89" s="15">
        <v>2</v>
      </c>
      <c r="D89" s="15" t="s">
        <v>91</v>
      </c>
      <c r="E89" s="15">
        <v>9</v>
      </c>
    </row>
    <row r="90" spans="1:5" x14ac:dyDescent="0.25">
      <c r="A90" s="15" t="s">
        <v>18</v>
      </c>
      <c r="B90" s="17">
        <v>44994</v>
      </c>
      <c r="C90" s="15">
        <v>2</v>
      </c>
      <c r="D90" s="15" t="s">
        <v>99</v>
      </c>
      <c r="E90" s="15">
        <v>1</v>
      </c>
    </row>
    <row r="91" spans="1:5" x14ac:dyDescent="0.25">
      <c r="A91" s="15" t="s">
        <v>18</v>
      </c>
      <c r="B91" s="17">
        <v>44994</v>
      </c>
      <c r="C91" s="15">
        <v>2</v>
      </c>
      <c r="D91" s="15" t="s">
        <v>77</v>
      </c>
      <c r="E91" s="15">
        <v>14</v>
      </c>
    </row>
    <row r="92" spans="1:5" x14ac:dyDescent="0.25">
      <c r="A92" s="15" t="s">
        <v>18</v>
      </c>
      <c r="B92" s="17">
        <v>44994</v>
      </c>
      <c r="C92" s="15">
        <v>2</v>
      </c>
      <c r="D92" s="15" t="s">
        <v>102</v>
      </c>
      <c r="E92" s="15">
        <v>6</v>
      </c>
    </row>
    <row r="93" spans="1:5" x14ac:dyDescent="0.25">
      <c r="A93" s="15" t="s">
        <v>18</v>
      </c>
      <c r="B93" s="17">
        <v>44994</v>
      </c>
      <c r="C93" s="15">
        <v>2</v>
      </c>
      <c r="D93" s="15" t="s">
        <v>103</v>
      </c>
      <c r="E93" s="15">
        <v>3</v>
      </c>
    </row>
    <row r="94" spans="1:5" x14ac:dyDescent="0.25">
      <c r="A94" s="15" t="s">
        <v>18</v>
      </c>
      <c r="B94" s="17">
        <v>44994</v>
      </c>
      <c r="C94" s="15">
        <v>2</v>
      </c>
      <c r="D94" s="15" t="s">
        <v>115</v>
      </c>
      <c r="E94" s="15">
        <v>2</v>
      </c>
    </row>
    <row r="95" spans="1:5" x14ac:dyDescent="0.25">
      <c r="A95" s="15" t="s">
        <v>18</v>
      </c>
      <c r="B95" s="17">
        <v>44994</v>
      </c>
      <c r="C95" s="15">
        <v>2</v>
      </c>
      <c r="D95" s="15" t="s">
        <v>78</v>
      </c>
      <c r="E95" s="15">
        <v>11</v>
      </c>
    </row>
    <row r="96" spans="1:5" x14ac:dyDescent="0.25">
      <c r="A96" s="15" t="s">
        <v>18</v>
      </c>
      <c r="B96" s="17">
        <v>44994</v>
      </c>
      <c r="C96" s="15">
        <v>2</v>
      </c>
      <c r="D96" s="15" t="s">
        <v>104</v>
      </c>
      <c r="E96" s="15">
        <v>14</v>
      </c>
    </row>
    <row r="97" spans="1:5" x14ac:dyDescent="0.25">
      <c r="A97" s="15" t="s">
        <v>18</v>
      </c>
      <c r="B97" s="17">
        <v>44994</v>
      </c>
      <c r="C97" s="15">
        <v>2</v>
      </c>
      <c r="D97" s="15" t="s">
        <v>79</v>
      </c>
      <c r="E97" s="15">
        <v>8</v>
      </c>
    </row>
    <row r="98" spans="1:5" x14ac:dyDescent="0.25">
      <c r="A98" s="15" t="s">
        <v>18</v>
      </c>
      <c r="B98" s="17">
        <v>44994</v>
      </c>
      <c r="C98" s="15">
        <v>2</v>
      </c>
      <c r="D98" s="15" t="s">
        <v>80</v>
      </c>
      <c r="E98" s="15">
        <v>6</v>
      </c>
    </row>
    <row r="99" spans="1:5" x14ac:dyDescent="0.25">
      <c r="A99" s="15" t="s">
        <v>18</v>
      </c>
      <c r="B99" s="17">
        <v>44994</v>
      </c>
      <c r="C99" s="15">
        <v>2</v>
      </c>
      <c r="D99" s="15" t="s">
        <v>116</v>
      </c>
      <c r="E99" s="15">
        <v>2</v>
      </c>
    </row>
    <row r="100" spans="1:5" x14ac:dyDescent="0.25">
      <c r="A100" s="15" t="s">
        <v>18</v>
      </c>
      <c r="B100" s="17">
        <v>44994</v>
      </c>
      <c r="C100" s="15">
        <v>2</v>
      </c>
      <c r="D100" s="15" t="s">
        <v>82</v>
      </c>
      <c r="E100" s="15">
        <v>1</v>
      </c>
    </row>
    <row r="101" spans="1:5" x14ac:dyDescent="0.25">
      <c r="A101" s="15" t="s">
        <v>18</v>
      </c>
      <c r="B101" s="17">
        <v>44994</v>
      </c>
      <c r="C101" s="15">
        <v>2</v>
      </c>
      <c r="D101" s="15" t="s">
        <v>106</v>
      </c>
      <c r="E101" s="15">
        <v>3</v>
      </c>
    </row>
    <row r="102" spans="1:5" x14ac:dyDescent="0.25">
      <c r="A102" s="15" t="s">
        <v>18</v>
      </c>
      <c r="B102" s="17">
        <v>44994</v>
      </c>
      <c r="C102" s="15">
        <v>2</v>
      </c>
      <c r="D102" s="15" t="s">
        <v>92</v>
      </c>
      <c r="E102" s="15">
        <v>5</v>
      </c>
    </row>
    <row r="103" spans="1:5" x14ac:dyDescent="0.25">
      <c r="A103" s="15" t="s">
        <v>18</v>
      </c>
      <c r="B103" s="17">
        <v>44994</v>
      </c>
      <c r="C103" s="15">
        <v>2</v>
      </c>
      <c r="D103" s="15" t="s">
        <v>83</v>
      </c>
      <c r="E103" s="15">
        <v>10</v>
      </c>
    </row>
    <row r="104" spans="1:5" x14ac:dyDescent="0.25">
      <c r="A104" s="15" t="s">
        <v>18</v>
      </c>
      <c r="B104" s="17">
        <v>44994</v>
      </c>
      <c r="C104" s="15">
        <v>2</v>
      </c>
      <c r="D104" s="15" t="s">
        <v>84</v>
      </c>
      <c r="E104" s="15">
        <v>5</v>
      </c>
    </row>
    <row r="105" spans="1:5" x14ac:dyDescent="0.25">
      <c r="A105" s="15" t="s">
        <v>18</v>
      </c>
      <c r="B105" s="17">
        <v>44994</v>
      </c>
      <c r="C105" s="15">
        <v>2</v>
      </c>
      <c r="D105" s="15" t="s">
        <v>117</v>
      </c>
      <c r="E105" s="15">
        <v>1</v>
      </c>
    </row>
    <row r="106" spans="1:5" x14ac:dyDescent="0.25">
      <c r="A106" s="15" t="s">
        <v>18</v>
      </c>
      <c r="B106" s="17">
        <v>44994</v>
      </c>
      <c r="C106" s="15">
        <v>2</v>
      </c>
      <c r="D106" s="15" t="s">
        <v>108</v>
      </c>
      <c r="E106" s="15">
        <v>1</v>
      </c>
    </row>
    <row r="107" spans="1:5" x14ac:dyDescent="0.25">
      <c r="A107" s="15" t="s">
        <v>18</v>
      </c>
      <c r="B107" s="17">
        <v>44994</v>
      </c>
      <c r="C107" s="15">
        <v>2</v>
      </c>
      <c r="D107" s="15" t="s">
        <v>118</v>
      </c>
      <c r="E107" s="15">
        <v>1</v>
      </c>
    </row>
    <row r="108" spans="1:5" x14ac:dyDescent="0.25">
      <c r="A108" s="15" t="s">
        <v>18</v>
      </c>
      <c r="B108" s="17">
        <v>44994</v>
      </c>
      <c r="C108" s="15">
        <v>2</v>
      </c>
      <c r="D108" s="15" t="s">
        <v>88</v>
      </c>
      <c r="E108" s="15">
        <v>4</v>
      </c>
    </row>
    <row r="109" spans="1:5" x14ac:dyDescent="0.25">
      <c r="A109" s="15" t="s">
        <v>18</v>
      </c>
      <c r="B109" s="17">
        <v>44994</v>
      </c>
      <c r="C109" s="15">
        <v>2</v>
      </c>
      <c r="D109" s="15" t="s">
        <v>119</v>
      </c>
      <c r="E109" s="15">
        <v>1</v>
      </c>
    </row>
    <row r="110" spans="1:5" x14ac:dyDescent="0.25">
      <c r="A110" s="15" t="s">
        <v>18</v>
      </c>
      <c r="B110" s="17">
        <v>44994</v>
      </c>
      <c r="C110" s="15">
        <v>2</v>
      </c>
      <c r="D110" s="15" t="s">
        <v>120</v>
      </c>
      <c r="E110" s="15">
        <v>1</v>
      </c>
    </row>
    <row r="111" spans="1:5" x14ac:dyDescent="0.25">
      <c r="A111" s="15" t="s">
        <v>18</v>
      </c>
      <c r="B111" s="17">
        <v>44994</v>
      </c>
      <c r="C111" s="15">
        <v>2</v>
      </c>
      <c r="D111" s="15" t="s">
        <v>121</v>
      </c>
      <c r="E111" s="15">
        <v>2</v>
      </c>
    </row>
    <row r="112" spans="1:5" x14ac:dyDescent="0.25">
      <c r="A112" s="15" t="s">
        <v>25</v>
      </c>
      <c r="B112" s="17">
        <v>44987</v>
      </c>
      <c r="C112" s="15">
        <v>1</v>
      </c>
      <c r="D112" s="15" t="s">
        <v>122</v>
      </c>
      <c r="E112" s="15">
        <v>1</v>
      </c>
    </row>
    <row r="113" spans="1:5" x14ac:dyDescent="0.25">
      <c r="A113" s="15" t="s">
        <v>25</v>
      </c>
      <c r="B113" s="17">
        <v>44987</v>
      </c>
      <c r="C113" s="15">
        <v>1</v>
      </c>
      <c r="D113" s="15" t="s">
        <v>66</v>
      </c>
      <c r="E113" s="15">
        <v>5</v>
      </c>
    </row>
    <row r="114" spans="1:5" x14ac:dyDescent="0.25">
      <c r="A114" s="15" t="s">
        <v>25</v>
      </c>
      <c r="B114" s="17">
        <v>44987</v>
      </c>
      <c r="C114" s="15">
        <v>1</v>
      </c>
      <c r="D114" s="15" t="s">
        <v>123</v>
      </c>
      <c r="E114" s="15">
        <v>4</v>
      </c>
    </row>
    <row r="115" spans="1:5" x14ac:dyDescent="0.25">
      <c r="A115" s="15" t="s">
        <v>25</v>
      </c>
      <c r="B115" s="17">
        <v>44987</v>
      </c>
      <c r="C115" s="15">
        <v>1</v>
      </c>
      <c r="D115" s="15" t="s">
        <v>68</v>
      </c>
      <c r="E115" s="15">
        <v>1</v>
      </c>
    </row>
    <row r="116" spans="1:5" x14ac:dyDescent="0.25">
      <c r="A116" s="15" t="s">
        <v>25</v>
      </c>
      <c r="B116" s="17">
        <v>44987</v>
      </c>
      <c r="C116" s="15">
        <v>1</v>
      </c>
      <c r="D116" s="15" t="s">
        <v>72</v>
      </c>
      <c r="E116" s="15">
        <v>2</v>
      </c>
    </row>
    <row r="117" spans="1:5" x14ac:dyDescent="0.25">
      <c r="A117" s="15" t="s">
        <v>25</v>
      </c>
      <c r="B117" s="17">
        <v>44987</v>
      </c>
      <c r="C117" s="15">
        <v>1</v>
      </c>
      <c r="D117" s="15" t="s">
        <v>73</v>
      </c>
      <c r="E117" s="15">
        <v>4</v>
      </c>
    </row>
    <row r="118" spans="1:5" x14ac:dyDescent="0.25">
      <c r="A118" s="15" t="s">
        <v>25</v>
      </c>
      <c r="B118" s="17">
        <v>44987</v>
      </c>
      <c r="C118" s="15">
        <v>1</v>
      </c>
      <c r="D118" s="15" t="s">
        <v>74</v>
      </c>
      <c r="E118" s="15">
        <v>3</v>
      </c>
    </row>
    <row r="119" spans="1:5" x14ac:dyDescent="0.25">
      <c r="A119" s="15" t="s">
        <v>25</v>
      </c>
      <c r="B119" s="17">
        <v>44987</v>
      </c>
      <c r="C119" s="15">
        <v>1</v>
      </c>
      <c r="D119" s="15" t="s">
        <v>124</v>
      </c>
      <c r="E119" s="15">
        <v>1</v>
      </c>
    </row>
    <row r="120" spans="1:5" x14ac:dyDescent="0.25">
      <c r="A120" s="15" t="s">
        <v>25</v>
      </c>
      <c r="B120" s="17">
        <v>44987</v>
      </c>
      <c r="C120" s="15">
        <v>1</v>
      </c>
      <c r="D120" s="15" t="s">
        <v>100</v>
      </c>
      <c r="E120" s="15">
        <v>2</v>
      </c>
    </row>
    <row r="121" spans="1:5" x14ac:dyDescent="0.25">
      <c r="A121" s="15" t="s">
        <v>25</v>
      </c>
      <c r="B121" s="17">
        <v>44987</v>
      </c>
      <c r="C121" s="15">
        <v>1</v>
      </c>
      <c r="D121" s="15" t="s">
        <v>101</v>
      </c>
      <c r="E121" s="15">
        <v>3</v>
      </c>
    </row>
    <row r="122" spans="1:5" x14ac:dyDescent="0.25">
      <c r="A122" s="15" t="s">
        <v>25</v>
      </c>
      <c r="B122" s="17">
        <v>44987</v>
      </c>
      <c r="C122" s="15">
        <v>1</v>
      </c>
      <c r="D122" s="15" t="s">
        <v>77</v>
      </c>
      <c r="E122" s="15">
        <v>9</v>
      </c>
    </row>
    <row r="123" spans="1:5" x14ac:dyDescent="0.25">
      <c r="A123" s="15" t="s">
        <v>25</v>
      </c>
      <c r="B123" s="17">
        <v>44987</v>
      </c>
      <c r="C123" s="15">
        <v>1</v>
      </c>
      <c r="D123" s="15" t="s">
        <v>115</v>
      </c>
      <c r="E123" s="15">
        <v>1</v>
      </c>
    </row>
    <row r="124" spans="1:5" x14ac:dyDescent="0.25">
      <c r="A124" s="15" t="s">
        <v>25</v>
      </c>
      <c r="B124" s="17">
        <v>44987</v>
      </c>
      <c r="C124" s="15">
        <v>1</v>
      </c>
      <c r="D124" s="15" t="s">
        <v>78</v>
      </c>
      <c r="E124" s="15">
        <v>1</v>
      </c>
    </row>
    <row r="125" spans="1:5" x14ac:dyDescent="0.25">
      <c r="A125" s="15" t="s">
        <v>25</v>
      </c>
      <c r="B125" s="17">
        <v>44987</v>
      </c>
      <c r="C125" s="15">
        <v>1</v>
      </c>
      <c r="D125" s="15" t="s">
        <v>80</v>
      </c>
      <c r="E125" s="15">
        <v>76</v>
      </c>
    </row>
    <row r="126" spans="1:5" x14ac:dyDescent="0.25">
      <c r="A126" s="15" t="s">
        <v>25</v>
      </c>
      <c r="B126" s="17">
        <v>44987</v>
      </c>
      <c r="C126" s="15">
        <v>1</v>
      </c>
      <c r="D126" s="15" t="s">
        <v>105</v>
      </c>
      <c r="E126" s="15">
        <v>1</v>
      </c>
    </row>
    <row r="127" spans="1:5" x14ac:dyDescent="0.25">
      <c r="A127" s="15" t="s">
        <v>25</v>
      </c>
      <c r="B127" s="17">
        <v>44987</v>
      </c>
      <c r="C127" s="15">
        <v>1</v>
      </c>
      <c r="D127" s="15" t="s">
        <v>82</v>
      </c>
      <c r="E127" s="15">
        <v>5</v>
      </c>
    </row>
    <row r="128" spans="1:5" x14ac:dyDescent="0.25">
      <c r="A128" s="15" t="s">
        <v>25</v>
      </c>
      <c r="B128" s="17">
        <v>44987</v>
      </c>
      <c r="C128" s="15">
        <v>1</v>
      </c>
      <c r="D128" s="15" t="s">
        <v>83</v>
      </c>
      <c r="E128" s="15">
        <v>16</v>
      </c>
    </row>
    <row r="129" spans="1:5" x14ac:dyDescent="0.25">
      <c r="A129" s="15" t="s">
        <v>25</v>
      </c>
      <c r="B129" s="17">
        <v>44987</v>
      </c>
      <c r="C129" s="15">
        <v>1</v>
      </c>
      <c r="D129" s="15" t="s">
        <v>84</v>
      </c>
      <c r="E129" s="15">
        <v>2</v>
      </c>
    </row>
    <row r="130" spans="1:5" x14ac:dyDescent="0.25">
      <c r="A130" s="15" t="s">
        <v>25</v>
      </c>
      <c r="B130" s="17">
        <v>44987</v>
      </c>
      <c r="C130" s="15">
        <v>1</v>
      </c>
      <c r="D130" s="15" t="s">
        <v>85</v>
      </c>
      <c r="E130" s="15">
        <v>5</v>
      </c>
    </row>
    <row r="131" spans="1:5" x14ac:dyDescent="0.25">
      <c r="A131" s="15" t="s">
        <v>25</v>
      </c>
      <c r="B131" s="17">
        <v>44987</v>
      </c>
      <c r="C131" s="15">
        <v>1</v>
      </c>
      <c r="D131" s="15" t="s">
        <v>118</v>
      </c>
      <c r="E131" s="15">
        <v>1</v>
      </c>
    </row>
    <row r="132" spans="1:5" x14ac:dyDescent="0.25">
      <c r="A132" s="15" t="s">
        <v>25</v>
      </c>
      <c r="B132" s="17">
        <v>44987</v>
      </c>
      <c r="C132" s="15">
        <v>1</v>
      </c>
      <c r="D132" s="15" t="s">
        <v>125</v>
      </c>
      <c r="E132" s="15">
        <v>1</v>
      </c>
    </row>
    <row r="133" spans="1:5" x14ac:dyDescent="0.25">
      <c r="A133" s="15" t="s">
        <v>25</v>
      </c>
      <c r="B133" s="17">
        <v>44987</v>
      </c>
      <c r="C133" s="15">
        <v>1</v>
      </c>
      <c r="D133" s="15" t="s">
        <v>126</v>
      </c>
      <c r="E133" s="15">
        <v>1</v>
      </c>
    </row>
    <row r="134" spans="1:5" x14ac:dyDescent="0.25">
      <c r="A134" s="15" t="s">
        <v>25</v>
      </c>
      <c r="B134" s="17">
        <v>44987</v>
      </c>
      <c r="C134" s="15">
        <v>1</v>
      </c>
      <c r="D134" s="15" t="s">
        <v>88</v>
      </c>
      <c r="E134" s="15">
        <v>1</v>
      </c>
    </row>
    <row r="135" spans="1:5" x14ac:dyDescent="0.25">
      <c r="A135" s="15" t="s">
        <v>25</v>
      </c>
      <c r="B135" s="17">
        <v>44987</v>
      </c>
      <c r="C135" s="15">
        <v>1</v>
      </c>
      <c r="D135" s="15" t="s">
        <v>121</v>
      </c>
      <c r="E135" s="15">
        <v>1</v>
      </c>
    </row>
    <row r="136" spans="1:5" x14ac:dyDescent="0.25">
      <c r="A136" s="15" t="s">
        <v>25</v>
      </c>
      <c r="B136" s="17">
        <v>44987</v>
      </c>
      <c r="C136" s="15">
        <v>2</v>
      </c>
      <c r="D136" s="15" t="s">
        <v>127</v>
      </c>
      <c r="E136" s="15">
        <v>1</v>
      </c>
    </row>
    <row r="137" spans="1:5" x14ac:dyDescent="0.25">
      <c r="A137" s="15" t="s">
        <v>25</v>
      </c>
      <c r="B137" s="17">
        <v>44987</v>
      </c>
      <c r="C137" s="15">
        <v>2</v>
      </c>
      <c r="D137" s="15" t="s">
        <v>66</v>
      </c>
      <c r="E137" s="15">
        <v>5</v>
      </c>
    </row>
    <row r="138" spans="1:5" x14ac:dyDescent="0.25">
      <c r="A138" s="15" t="s">
        <v>25</v>
      </c>
      <c r="B138" s="17">
        <v>44987</v>
      </c>
      <c r="C138" s="15">
        <v>2</v>
      </c>
      <c r="D138" s="15" t="s">
        <v>123</v>
      </c>
      <c r="E138" s="15">
        <v>1</v>
      </c>
    </row>
    <row r="139" spans="1:5" x14ac:dyDescent="0.25">
      <c r="A139" s="15" t="s">
        <v>25</v>
      </c>
      <c r="B139" s="17">
        <v>44987</v>
      </c>
      <c r="C139" s="15">
        <v>2</v>
      </c>
      <c r="D139" s="15" t="s">
        <v>90</v>
      </c>
      <c r="E139" s="15">
        <v>1</v>
      </c>
    </row>
    <row r="140" spans="1:5" x14ac:dyDescent="0.25">
      <c r="A140" s="15" t="s">
        <v>25</v>
      </c>
      <c r="B140" s="17">
        <v>44987</v>
      </c>
      <c r="C140" s="15">
        <v>2</v>
      </c>
      <c r="D140" s="15" t="s">
        <v>68</v>
      </c>
      <c r="E140" s="15">
        <v>3</v>
      </c>
    </row>
    <row r="141" spans="1:5" x14ac:dyDescent="0.25">
      <c r="A141" s="15" t="s">
        <v>25</v>
      </c>
      <c r="B141" s="17">
        <v>44987</v>
      </c>
      <c r="C141" s="15">
        <v>2</v>
      </c>
      <c r="D141" s="15" t="s">
        <v>72</v>
      </c>
      <c r="E141" s="15">
        <v>4</v>
      </c>
    </row>
    <row r="142" spans="1:5" x14ac:dyDescent="0.25">
      <c r="A142" s="15" t="s">
        <v>25</v>
      </c>
      <c r="B142" s="17">
        <v>44987</v>
      </c>
      <c r="C142" s="15">
        <v>2</v>
      </c>
      <c r="D142" s="15" t="s">
        <v>114</v>
      </c>
      <c r="E142" s="15">
        <v>1</v>
      </c>
    </row>
    <row r="143" spans="1:5" x14ac:dyDescent="0.25">
      <c r="A143" s="15" t="s">
        <v>25</v>
      </c>
      <c r="B143" s="17">
        <v>44987</v>
      </c>
      <c r="C143" s="15">
        <v>2</v>
      </c>
      <c r="D143" s="15" t="s">
        <v>73</v>
      </c>
      <c r="E143" s="15">
        <v>5</v>
      </c>
    </row>
    <row r="144" spans="1:5" x14ac:dyDescent="0.25">
      <c r="A144" s="15" t="s">
        <v>25</v>
      </c>
      <c r="B144" s="17">
        <v>44987</v>
      </c>
      <c r="C144" s="15">
        <v>2</v>
      </c>
      <c r="D144" s="15" t="s">
        <v>74</v>
      </c>
      <c r="E144" s="15">
        <v>1</v>
      </c>
    </row>
    <row r="145" spans="1:5" x14ac:dyDescent="0.25">
      <c r="A145" s="15" t="s">
        <v>25</v>
      </c>
      <c r="B145" s="17">
        <v>44987</v>
      </c>
      <c r="C145" s="15">
        <v>2</v>
      </c>
      <c r="D145" s="15" t="s">
        <v>100</v>
      </c>
      <c r="E145" s="15">
        <v>3</v>
      </c>
    </row>
    <row r="146" spans="1:5" x14ac:dyDescent="0.25">
      <c r="A146" s="15" t="s">
        <v>25</v>
      </c>
      <c r="B146" s="17">
        <v>44987</v>
      </c>
      <c r="C146" s="15">
        <v>2</v>
      </c>
      <c r="D146" s="15" t="s">
        <v>101</v>
      </c>
      <c r="E146" s="15">
        <v>1</v>
      </c>
    </row>
    <row r="147" spans="1:5" x14ac:dyDescent="0.25">
      <c r="A147" s="15" t="s">
        <v>25</v>
      </c>
      <c r="B147" s="17">
        <v>44987</v>
      </c>
      <c r="C147" s="15">
        <v>2</v>
      </c>
      <c r="D147" s="15" t="s">
        <v>77</v>
      </c>
      <c r="E147" s="15">
        <v>14</v>
      </c>
    </row>
    <row r="148" spans="1:5" x14ac:dyDescent="0.25">
      <c r="A148" s="15" t="s">
        <v>25</v>
      </c>
      <c r="B148" s="17">
        <v>44987</v>
      </c>
      <c r="C148" s="15">
        <v>2</v>
      </c>
      <c r="D148" s="15" t="s">
        <v>102</v>
      </c>
      <c r="E148" s="15">
        <v>1</v>
      </c>
    </row>
    <row r="149" spans="1:5" x14ac:dyDescent="0.25">
      <c r="A149" s="15" t="s">
        <v>25</v>
      </c>
      <c r="B149" s="17">
        <v>44987</v>
      </c>
      <c r="C149" s="15">
        <v>2</v>
      </c>
      <c r="D149" s="15" t="s">
        <v>115</v>
      </c>
      <c r="E149" s="15">
        <v>2</v>
      </c>
    </row>
    <row r="150" spans="1:5" x14ac:dyDescent="0.25">
      <c r="A150" s="15" t="s">
        <v>25</v>
      </c>
      <c r="B150" s="17">
        <v>44987</v>
      </c>
      <c r="C150" s="15">
        <v>2</v>
      </c>
      <c r="D150" s="15" t="s">
        <v>80</v>
      </c>
      <c r="E150" s="15">
        <v>82</v>
      </c>
    </row>
    <row r="151" spans="1:5" x14ac:dyDescent="0.25">
      <c r="A151" s="15" t="s">
        <v>25</v>
      </c>
      <c r="B151" s="17">
        <v>44987</v>
      </c>
      <c r="C151" s="15">
        <v>2</v>
      </c>
      <c r="D151" s="15" t="s">
        <v>105</v>
      </c>
      <c r="E151" s="15">
        <v>2</v>
      </c>
    </row>
    <row r="152" spans="1:5" x14ac:dyDescent="0.25">
      <c r="A152" s="15" t="s">
        <v>25</v>
      </c>
      <c r="B152" s="17">
        <v>44987</v>
      </c>
      <c r="C152" s="15">
        <v>2</v>
      </c>
      <c r="D152" s="15" t="s">
        <v>82</v>
      </c>
      <c r="E152" s="15">
        <v>2</v>
      </c>
    </row>
    <row r="153" spans="1:5" x14ac:dyDescent="0.25">
      <c r="A153" s="15" t="s">
        <v>25</v>
      </c>
      <c r="B153" s="17">
        <v>44987</v>
      </c>
      <c r="C153" s="15">
        <v>2</v>
      </c>
      <c r="D153" s="15" t="s">
        <v>83</v>
      </c>
      <c r="E153" s="15">
        <v>9</v>
      </c>
    </row>
    <row r="154" spans="1:5" x14ac:dyDescent="0.25">
      <c r="A154" s="15" t="s">
        <v>25</v>
      </c>
      <c r="B154" s="17">
        <v>44987</v>
      </c>
      <c r="C154" s="15">
        <v>2</v>
      </c>
      <c r="D154" s="15" t="s">
        <v>84</v>
      </c>
      <c r="E154" s="15">
        <v>4</v>
      </c>
    </row>
    <row r="155" spans="1:5" x14ac:dyDescent="0.25">
      <c r="A155" s="15" t="s">
        <v>25</v>
      </c>
      <c r="B155" s="17">
        <v>44987</v>
      </c>
      <c r="C155" s="15">
        <v>2</v>
      </c>
      <c r="D155" s="15" t="s">
        <v>85</v>
      </c>
      <c r="E155" s="15">
        <v>2</v>
      </c>
    </row>
    <row r="156" spans="1:5" x14ac:dyDescent="0.25">
      <c r="A156" s="15" t="s">
        <v>25</v>
      </c>
      <c r="B156" s="17">
        <v>44987</v>
      </c>
      <c r="C156" s="15">
        <v>2</v>
      </c>
      <c r="D156" s="15" t="s">
        <v>118</v>
      </c>
      <c r="E156" s="15">
        <v>2</v>
      </c>
    </row>
    <row r="157" spans="1:5" x14ac:dyDescent="0.25">
      <c r="A157" s="15" t="s">
        <v>25</v>
      </c>
      <c r="B157" s="17">
        <v>44987</v>
      </c>
      <c r="C157" s="15">
        <v>2</v>
      </c>
      <c r="D157" s="15" t="s">
        <v>126</v>
      </c>
      <c r="E157" s="15">
        <v>1</v>
      </c>
    </row>
    <row r="158" spans="1:5" x14ac:dyDescent="0.25">
      <c r="A158" s="15" t="s">
        <v>25</v>
      </c>
      <c r="B158" s="17">
        <v>44987</v>
      </c>
      <c r="C158" s="15">
        <v>2</v>
      </c>
      <c r="D158" s="15" t="s">
        <v>128</v>
      </c>
      <c r="E158" s="15">
        <v>1</v>
      </c>
    </row>
    <row r="159" spans="1:5" x14ac:dyDescent="0.25">
      <c r="A159" s="15" t="s">
        <v>25</v>
      </c>
      <c r="B159" s="17">
        <v>44987</v>
      </c>
      <c r="C159" s="15">
        <v>2</v>
      </c>
      <c r="D159" s="15" t="s">
        <v>129</v>
      </c>
      <c r="E159" s="15">
        <v>1</v>
      </c>
    </row>
    <row r="160" spans="1:5" x14ac:dyDescent="0.25">
      <c r="A160" s="15" t="s">
        <v>25</v>
      </c>
      <c r="B160" s="17">
        <v>44987</v>
      </c>
      <c r="C160" s="15">
        <v>2</v>
      </c>
      <c r="D160" s="15" t="s">
        <v>121</v>
      </c>
      <c r="E160" s="15">
        <v>1</v>
      </c>
    </row>
    <row r="161" spans="1:5" x14ac:dyDescent="0.25">
      <c r="A161" s="15" t="s">
        <v>29</v>
      </c>
      <c r="B161" s="17">
        <v>44994</v>
      </c>
      <c r="C161" s="15">
        <v>1</v>
      </c>
      <c r="D161" s="15" t="s">
        <v>66</v>
      </c>
      <c r="E161" s="15">
        <v>1</v>
      </c>
    </row>
    <row r="162" spans="1:5" x14ac:dyDescent="0.25">
      <c r="A162" s="15" t="s">
        <v>29</v>
      </c>
      <c r="B162" s="17">
        <v>44994</v>
      </c>
      <c r="C162" s="15">
        <v>1</v>
      </c>
      <c r="D162" s="15" t="s">
        <v>130</v>
      </c>
      <c r="E162" s="15">
        <v>1</v>
      </c>
    </row>
    <row r="163" spans="1:5" x14ac:dyDescent="0.25">
      <c r="A163" s="15" t="s">
        <v>29</v>
      </c>
      <c r="B163" s="17">
        <v>44994</v>
      </c>
      <c r="C163" s="15">
        <v>1</v>
      </c>
      <c r="D163" s="15" t="s">
        <v>68</v>
      </c>
      <c r="E163" s="15">
        <v>6</v>
      </c>
    </row>
    <row r="164" spans="1:5" x14ac:dyDescent="0.25">
      <c r="A164" s="15" t="s">
        <v>29</v>
      </c>
      <c r="B164" s="17">
        <v>44994</v>
      </c>
      <c r="C164" s="15">
        <v>1</v>
      </c>
      <c r="D164" s="15" t="s">
        <v>131</v>
      </c>
      <c r="E164" s="15">
        <v>1</v>
      </c>
    </row>
    <row r="165" spans="1:5" x14ac:dyDescent="0.25">
      <c r="A165" s="15" t="s">
        <v>29</v>
      </c>
      <c r="B165" s="17">
        <v>44994</v>
      </c>
      <c r="C165" s="15">
        <v>1</v>
      </c>
      <c r="D165" s="15" t="s">
        <v>132</v>
      </c>
      <c r="E165" s="15">
        <v>2</v>
      </c>
    </row>
    <row r="166" spans="1:5" x14ac:dyDescent="0.25">
      <c r="A166" s="15" t="s">
        <v>29</v>
      </c>
      <c r="B166" s="17">
        <v>44994</v>
      </c>
      <c r="C166" s="15">
        <v>1</v>
      </c>
      <c r="D166" s="15" t="s">
        <v>71</v>
      </c>
      <c r="E166" s="15">
        <v>5</v>
      </c>
    </row>
    <row r="167" spans="1:5" x14ac:dyDescent="0.25">
      <c r="A167" s="15" t="s">
        <v>29</v>
      </c>
      <c r="B167" s="17">
        <v>44994</v>
      </c>
      <c r="C167" s="15">
        <v>1</v>
      </c>
      <c r="D167" s="15" t="s">
        <v>72</v>
      </c>
      <c r="E167" s="15">
        <v>86</v>
      </c>
    </row>
    <row r="168" spans="1:5" x14ac:dyDescent="0.25">
      <c r="A168" s="15" t="s">
        <v>29</v>
      </c>
      <c r="B168" s="17">
        <v>44994</v>
      </c>
      <c r="C168" s="15">
        <v>1</v>
      </c>
      <c r="D168" s="15" t="s">
        <v>114</v>
      </c>
      <c r="E168" s="15">
        <v>1</v>
      </c>
    </row>
    <row r="169" spans="1:5" x14ac:dyDescent="0.25">
      <c r="A169" s="15" t="s">
        <v>29</v>
      </c>
      <c r="B169" s="17">
        <v>44994</v>
      </c>
      <c r="C169" s="15">
        <v>1</v>
      </c>
      <c r="D169" s="15" t="s">
        <v>98</v>
      </c>
      <c r="E169" s="15">
        <v>2</v>
      </c>
    </row>
    <row r="170" spans="1:5" x14ac:dyDescent="0.25">
      <c r="A170" s="15" t="s">
        <v>29</v>
      </c>
      <c r="B170" s="17">
        <v>44994</v>
      </c>
      <c r="C170" s="15">
        <v>1</v>
      </c>
      <c r="D170" s="15" t="s">
        <v>91</v>
      </c>
      <c r="E170" s="15">
        <v>3</v>
      </c>
    </row>
    <row r="171" spans="1:5" x14ac:dyDescent="0.25">
      <c r="A171" s="15" t="s">
        <v>29</v>
      </c>
      <c r="B171" s="17">
        <v>44994</v>
      </c>
      <c r="C171" s="15">
        <v>1</v>
      </c>
      <c r="D171" s="15" t="s">
        <v>76</v>
      </c>
      <c r="E171" s="15">
        <v>1</v>
      </c>
    </row>
    <row r="172" spans="1:5" x14ac:dyDescent="0.25">
      <c r="A172" s="15" t="s">
        <v>29</v>
      </c>
      <c r="B172" s="17">
        <v>44994</v>
      </c>
      <c r="C172" s="15">
        <v>1</v>
      </c>
      <c r="D172" s="15" t="s">
        <v>78</v>
      </c>
      <c r="E172" s="15">
        <v>5</v>
      </c>
    </row>
    <row r="173" spans="1:5" x14ac:dyDescent="0.25">
      <c r="A173" s="15" t="s">
        <v>29</v>
      </c>
      <c r="B173" s="17">
        <v>44994</v>
      </c>
      <c r="C173" s="15">
        <v>1</v>
      </c>
      <c r="D173" s="15" t="s">
        <v>80</v>
      </c>
      <c r="E173" s="15">
        <v>18</v>
      </c>
    </row>
    <row r="174" spans="1:5" x14ac:dyDescent="0.25">
      <c r="A174" s="15" t="s">
        <v>29</v>
      </c>
      <c r="B174" s="17">
        <v>44994</v>
      </c>
      <c r="C174" s="15">
        <v>1</v>
      </c>
      <c r="D174" s="15" t="s">
        <v>105</v>
      </c>
      <c r="E174" s="15">
        <v>1</v>
      </c>
    </row>
    <row r="175" spans="1:5" x14ac:dyDescent="0.25">
      <c r="A175" s="15" t="s">
        <v>29</v>
      </c>
      <c r="B175" s="17">
        <v>44994</v>
      </c>
      <c r="C175" s="15">
        <v>1</v>
      </c>
      <c r="D175" s="15" t="s">
        <v>81</v>
      </c>
      <c r="E175" s="15">
        <v>1</v>
      </c>
    </row>
    <row r="176" spans="1:5" x14ac:dyDescent="0.25">
      <c r="A176" s="15" t="s">
        <v>29</v>
      </c>
      <c r="B176" s="17">
        <v>44994</v>
      </c>
      <c r="C176" s="15">
        <v>1</v>
      </c>
      <c r="D176" s="15" t="s">
        <v>82</v>
      </c>
      <c r="E176" s="15">
        <v>1</v>
      </c>
    </row>
    <row r="177" spans="1:5" x14ac:dyDescent="0.25">
      <c r="A177" s="15" t="s">
        <v>29</v>
      </c>
      <c r="B177" s="17">
        <v>44994</v>
      </c>
      <c r="C177" s="15">
        <v>1</v>
      </c>
      <c r="D177" s="15" t="s">
        <v>83</v>
      </c>
      <c r="E177" s="15">
        <v>1</v>
      </c>
    </row>
    <row r="178" spans="1:5" x14ac:dyDescent="0.25">
      <c r="A178" s="15" t="s">
        <v>29</v>
      </c>
      <c r="B178" s="17">
        <v>44994</v>
      </c>
      <c r="C178" s="15">
        <v>1</v>
      </c>
      <c r="D178" s="15" t="s">
        <v>84</v>
      </c>
      <c r="E178" s="15">
        <v>7</v>
      </c>
    </row>
    <row r="179" spans="1:5" x14ac:dyDescent="0.25">
      <c r="A179" s="15" t="s">
        <v>29</v>
      </c>
      <c r="B179" s="17">
        <v>44994</v>
      </c>
      <c r="C179" s="15">
        <v>1</v>
      </c>
      <c r="D179" s="15" t="s">
        <v>85</v>
      </c>
      <c r="E179" s="15">
        <v>2</v>
      </c>
    </row>
    <row r="180" spans="1:5" x14ac:dyDescent="0.25">
      <c r="A180" s="15" t="s">
        <v>29</v>
      </c>
      <c r="B180" s="17">
        <v>44994</v>
      </c>
      <c r="C180" s="15">
        <v>1</v>
      </c>
      <c r="D180" s="15" t="s">
        <v>93</v>
      </c>
      <c r="E180" s="15">
        <v>2</v>
      </c>
    </row>
    <row r="181" spans="1:5" x14ac:dyDescent="0.25">
      <c r="A181" s="15" t="s">
        <v>29</v>
      </c>
      <c r="B181" s="17">
        <v>44994</v>
      </c>
      <c r="C181" s="15">
        <v>1</v>
      </c>
      <c r="D181" s="15" t="s">
        <v>88</v>
      </c>
      <c r="E181" s="15">
        <v>2</v>
      </c>
    </row>
    <row r="182" spans="1:5" x14ac:dyDescent="0.25">
      <c r="A182" s="15" t="s">
        <v>29</v>
      </c>
      <c r="B182" s="17">
        <v>44994</v>
      </c>
      <c r="C182" s="15">
        <v>1</v>
      </c>
      <c r="D182" s="15" t="s">
        <v>110</v>
      </c>
      <c r="E182" s="15">
        <v>1</v>
      </c>
    </row>
    <row r="183" spans="1:5" x14ac:dyDescent="0.25">
      <c r="A183" s="15" t="s">
        <v>29</v>
      </c>
      <c r="B183" s="17">
        <v>44994</v>
      </c>
      <c r="C183" s="15">
        <v>1</v>
      </c>
      <c r="D183" s="15" t="s">
        <v>133</v>
      </c>
      <c r="E183" s="15">
        <v>1</v>
      </c>
    </row>
    <row r="184" spans="1:5" x14ac:dyDescent="0.25">
      <c r="A184" s="15" t="s">
        <v>29</v>
      </c>
      <c r="B184" s="17">
        <v>44994</v>
      </c>
      <c r="C184" s="15">
        <v>2</v>
      </c>
      <c r="D184" s="15" t="s">
        <v>134</v>
      </c>
      <c r="E184" s="15">
        <v>1</v>
      </c>
    </row>
    <row r="185" spans="1:5" x14ac:dyDescent="0.25">
      <c r="A185" s="15" t="s">
        <v>29</v>
      </c>
      <c r="B185" s="17">
        <v>44994</v>
      </c>
      <c r="C185" s="15">
        <v>2</v>
      </c>
      <c r="D185" s="15" t="s">
        <v>66</v>
      </c>
      <c r="E185" s="15">
        <v>2</v>
      </c>
    </row>
    <row r="186" spans="1:5" x14ac:dyDescent="0.25">
      <c r="A186" s="15" t="s">
        <v>29</v>
      </c>
      <c r="B186" s="17">
        <v>44994</v>
      </c>
      <c r="C186" s="15">
        <v>2</v>
      </c>
      <c r="D186" s="15" t="s">
        <v>123</v>
      </c>
      <c r="E186" s="15">
        <v>1</v>
      </c>
    </row>
    <row r="187" spans="1:5" x14ac:dyDescent="0.25">
      <c r="A187" s="15" t="s">
        <v>29</v>
      </c>
      <c r="B187" s="17">
        <v>44994</v>
      </c>
      <c r="C187" s="15">
        <v>2</v>
      </c>
      <c r="D187" s="15" t="s">
        <v>130</v>
      </c>
      <c r="E187" s="15">
        <v>2</v>
      </c>
    </row>
    <row r="188" spans="1:5" x14ac:dyDescent="0.25">
      <c r="A188" s="15" t="s">
        <v>29</v>
      </c>
      <c r="B188" s="17">
        <v>44994</v>
      </c>
      <c r="C188" s="15">
        <v>2</v>
      </c>
      <c r="D188" s="15" t="s">
        <v>89</v>
      </c>
      <c r="E188" s="15">
        <v>3</v>
      </c>
    </row>
    <row r="189" spans="1:5" x14ac:dyDescent="0.25">
      <c r="A189" s="15" t="s">
        <v>29</v>
      </c>
      <c r="B189" s="17">
        <v>44994</v>
      </c>
      <c r="C189" s="15">
        <v>2</v>
      </c>
      <c r="D189" s="15" t="s">
        <v>68</v>
      </c>
      <c r="E189" s="15">
        <v>5</v>
      </c>
    </row>
    <row r="190" spans="1:5" x14ac:dyDescent="0.25">
      <c r="A190" s="15" t="s">
        <v>29</v>
      </c>
      <c r="B190" s="17">
        <v>44994</v>
      </c>
      <c r="C190" s="15">
        <v>2</v>
      </c>
      <c r="D190" s="15" t="s">
        <v>131</v>
      </c>
      <c r="E190" s="15">
        <v>1</v>
      </c>
    </row>
    <row r="191" spans="1:5" x14ac:dyDescent="0.25">
      <c r="A191" s="15" t="s">
        <v>29</v>
      </c>
      <c r="B191" s="17">
        <v>44994</v>
      </c>
      <c r="C191" s="15">
        <v>2</v>
      </c>
      <c r="D191" s="15" t="s">
        <v>132</v>
      </c>
      <c r="E191" s="15">
        <v>2</v>
      </c>
    </row>
    <row r="192" spans="1:5" x14ac:dyDescent="0.25">
      <c r="A192" s="15" t="s">
        <v>29</v>
      </c>
      <c r="B192" s="17">
        <v>44994</v>
      </c>
      <c r="C192" s="15">
        <v>2</v>
      </c>
      <c r="D192" s="15" t="s">
        <v>71</v>
      </c>
      <c r="E192" s="15">
        <v>4</v>
      </c>
    </row>
    <row r="193" spans="1:5" x14ac:dyDescent="0.25">
      <c r="A193" s="15" t="s">
        <v>29</v>
      </c>
      <c r="B193" s="17">
        <v>44994</v>
      </c>
      <c r="C193" s="15">
        <v>2</v>
      </c>
      <c r="D193" s="15" t="s">
        <v>72</v>
      </c>
      <c r="E193" s="15">
        <v>76</v>
      </c>
    </row>
    <row r="194" spans="1:5" x14ac:dyDescent="0.25">
      <c r="A194" s="15" t="s">
        <v>29</v>
      </c>
      <c r="B194" s="17">
        <v>44994</v>
      </c>
      <c r="C194" s="15">
        <v>2</v>
      </c>
      <c r="D194" s="15" t="s">
        <v>91</v>
      </c>
      <c r="E194" s="15">
        <v>6</v>
      </c>
    </row>
    <row r="195" spans="1:5" x14ac:dyDescent="0.25">
      <c r="A195" s="15" t="s">
        <v>29</v>
      </c>
      <c r="B195" s="17">
        <v>44994</v>
      </c>
      <c r="C195" s="15">
        <v>2</v>
      </c>
      <c r="D195" s="15" t="s">
        <v>102</v>
      </c>
      <c r="E195" s="15">
        <v>1</v>
      </c>
    </row>
    <row r="196" spans="1:5" x14ac:dyDescent="0.25">
      <c r="A196" s="15" t="s">
        <v>29</v>
      </c>
      <c r="B196" s="17">
        <v>44994</v>
      </c>
      <c r="C196" s="15">
        <v>2</v>
      </c>
      <c r="D196" s="15" t="s">
        <v>78</v>
      </c>
      <c r="E196" s="15">
        <v>6</v>
      </c>
    </row>
    <row r="197" spans="1:5" x14ac:dyDescent="0.25">
      <c r="A197" s="15" t="s">
        <v>29</v>
      </c>
      <c r="B197" s="17">
        <v>44994</v>
      </c>
      <c r="C197" s="15">
        <v>2</v>
      </c>
      <c r="D197" s="15" t="s">
        <v>80</v>
      </c>
      <c r="E197" s="15">
        <v>21</v>
      </c>
    </row>
    <row r="198" spans="1:5" x14ac:dyDescent="0.25">
      <c r="A198" s="15" t="s">
        <v>29</v>
      </c>
      <c r="B198" s="17">
        <v>44994</v>
      </c>
      <c r="C198" s="15">
        <v>2</v>
      </c>
      <c r="D198" s="15" t="s">
        <v>135</v>
      </c>
      <c r="E198" s="15">
        <v>1</v>
      </c>
    </row>
    <row r="199" spans="1:5" x14ac:dyDescent="0.25">
      <c r="A199" s="15" t="s">
        <v>29</v>
      </c>
      <c r="B199" s="17">
        <v>44994</v>
      </c>
      <c r="C199" s="15">
        <v>2</v>
      </c>
      <c r="D199" s="15" t="s">
        <v>105</v>
      </c>
      <c r="E199" s="15">
        <v>1</v>
      </c>
    </row>
    <row r="200" spans="1:5" x14ac:dyDescent="0.25">
      <c r="A200" s="15" t="s">
        <v>29</v>
      </c>
      <c r="B200" s="17">
        <v>44994</v>
      </c>
      <c r="C200" s="15">
        <v>2</v>
      </c>
      <c r="D200" s="15" t="s">
        <v>81</v>
      </c>
      <c r="E200" s="15">
        <v>1</v>
      </c>
    </row>
    <row r="201" spans="1:5" x14ac:dyDescent="0.25">
      <c r="A201" s="15" t="s">
        <v>29</v>
      </c>
      <c r="B201" s="17">
        <v>44994</v>
      </c>
      <c r="C201" s="15">
        <v>2</v>
      </c>
      <c r="D201" s="15" t="s">
        <v>136</v>
      </c>
      <c r="E201" s="15">
        <v>1</v>
      </c>
    </row>
    <row r="202" spans="1:5" x14ac:dyDescent="0.25">
      <c r="A202" s="15" t="s">
        <v>29</v>
      </c>
      <c r="B202" s="17">
        <v>44994</v>
      </c>
      <c r="C202" s="15">
        <v>2</v>
      </c>
      <c r="D202" s="15" t="s">
        <v>84</v>
      </c>
      <c r="E202" s="15">
        <v>5</v>
      </c>
    </row>
    <row r="203" spans="1:5" x14ac:dyDescent="0.25">
      <c r="A203" s="15" t="s">
        <v>29</v>
      </c>
      <c r="B203" s="17">
        <v>44994</v>
      </c>
      <c r="C203" s="15">
        <v>2</v>
      </c>
      <c r="D203" s="15" t="s">
        <v>88</v>
      </c>
      <c r="E203" s="15">
        <v>1</v>
      </c>
    </row>
    <row r="204" spans="1:5" x14ac:dyDescent="0.25">
      <c r="A204" s="15" t="s">
        <v>29</v>
      </c>
      <c r="B204" s="17">
        <v>44994</v>
      </c>
      <c r="C204" s="15">
        <v>2</v>
      </c>
      <c r="D204" s="15" t="s">
        <v>110</v>
      </c>
      <c r="E204" s="15">
        <v>1</v>
      </c>
    </row>
    <row r="205" spans="1:5" x14ac:dyDescent="0.25">
      <c r="A205" s="15" t="s">
        <v>16</v>
      </c>
      <c r="B205" s="17">
        <v>44995</v>
      </c>
      <c r="C205" s="15">
        <v>1</v>
      </c>
      <c r="D205" s="15" t="s">
        <v>134</v>
      </c>
      <c r="E205" s="15">
        <v>1</v>
      </c>
    </row>
    <row r="206" spans="1:5" x14ac:dyDescent="0.25">
      <c r="A206" s="15" t="s">
        <v>16</v>
      </c>
      <c r="B206" s="17">
        <v>44995</v>
      </c>
      <c r="C206" s="15">
        <v>1</v>
      </c>
      <c r="D206" s="15" t="s">
        <v>137</v>
      </c>
      <c r="E206" s="15">
        <v>2</v>
      </c>
    </row>
    <row r="207" spans="1:5" x14ac:dyDescent="0.25">
      <c r="A207" s="15" t="s">
        <v>16</v>
      </c>
      <c r="B207" s="17">
        <v>44995</v>
      </c>
      <c r="C207" s="15">
        <v>1</v>
      </c>
      <c r="D207" s="15" t="s">
        <v>138</v>
      </c>
      <c r="E207" s="15">
        <v>1</v>
      </c>
    </row>
    <row r="208" spans="1:5" x14ac:dyDescent="0.25">
      <c r="A208" s="15" t="s">
        <v>16</v>
      </c>
      <c r="B208" s="17">
        <v>44995</v>
      </c>
      <c r="C208" s="15">
        <v>1</v>
      </c>
      <c r="D208" s="15" t="s">
        <v>66</v>
      </c>
      <c r="E208" s="15">
        <v>5</v>
      </c>
    </row>
    <row r="209" spans="1:5" x14ac:dyDescent="0.25">
      <c r="A209" s="15" t="s">
        <v>16</v>
      </c>
      <c r="B209" s="17">
        <v>44995</v>
      </c>
      <c r="C209" s="15">
        <v>1</v>
      </c>
      <c r="D209" s="15" t="s">
        <v>89</v>
      </c>
      <c r="E209" s="15">
        <v>8</v>
      </c>
    </row>
    <row r="210" spans="1:5" x14ac:dyDescent="0.25">
      <c r="A210" s="15" t="s">
        <v>16</v>
      </c>
      <c r="B210" s="17">
        <v>44995</v>
      </c>
      <c r="C210" s="15">
        <v>1</v>
      </c>
      <c r="D210" s="15" t="s">
        <v>70</v>
      </c>
      <c r="E210" s="15">
        <v>25</v>
      </c>
    </row>
    <row r="211" spans="1:5" x14ac:dyDescent="0.25">
      <c r="A211" s="15" t="s">
        <v>16</v>
      </c>
      <c r="B211" s="17">
        <v>44995</v>
      </c>
      <c r="C211" s="15">
        <v>1</v>
      </c>
      <c r="D211" s="15" t="s">
        <v>71</v>
      </c>
      <c r="E211" s="15">
        <v>1</v>
      </c>
    </row>
    <row r="212" spans="1:5" x14ac:dyDescent="0.25">
      <c r="A212" s="15" t="s">
        <v>16</v>
      </c>
      <c r="B212" s="17">
        <v>44995</v>
      </c>
      <c r="C212" s="15">
        <v>1</v>
      </c>
      <c r="D212" s="15" t="s">
        <v>72</v>
      </c>
      <c r="E212" s="15">
        <v>20</v>
      </c>
    </row>
    <row r="213" spans="1:5" x14ac:dyDescent="0.25">
      <c r="A213" s="15" t="s">
        <v>16</v>
      </c>
      <c r="B213" s="17">
        <v>44995</v>
      </c>
      <c r="C213" s="15">
        <v>1</v>
      </c>
      <c r="D213" s="15" t="s">
        <v>113</v>
      </c>
      <c r="E213" s="15">
        <v>1</v>
      </c>
    </row>
    <row r="214" spans="1:5" x14ac:dyDescent="0.25">
      <c r="A214" s="15" t="s">
        <v>16</v>
      </c>
      <c r="B214" s="17">
        <v>44995</v>
      </c>
      <c r="C214" s="15">
        <v>1</v>
      </c>
      <c r="D214" s="15" t="s">
        <v>73</v>
      </c>
      <c r="E214" s="15">
        <v>3</v>
      </c>
    </row>
    <row r="215" spans="1:5" x14ac:dyDescent="0.25">
      <c r="A215" s="15" t="s">
        <v>16</v>
      </c>
      <c r="B215" s="17">
        <v>44995</v>
      </c>
      <c r="C215" s="15">
        <v>1</v>
      </c>
      <c r="D215" s="15" t="s">
        <v>91</v>
      </c>
      <c r="E215" s="15">
        <v>1</v>
      </c>
    </row>
    <row r="216" spans="1:5" x14ac:dyDescent="0.25">
      <c r="A216" s="15" t="s">
        <v>16</v>
      </c>
      <c r="B216" s="17">
        <v>44995</v>
      </c>
      <c r="C216" s="15">
        <v>1</v>
      </c>
      <c r="D216" s="15" t="s">
        <v>99</v>
      </c>
      <c r="E216" s="15">
        <v>1</v>
      </c>
    </row>
    <row r="217" spans="1:5" x14ac:dyDescent="0.25">
      <c r="A217" s="15" t="s">
        <v>16</v>
      </c>
      <c r="B217" s="17">
        <v>44995</v>
      </c>
      <c r="C217" s="15">
        <v>1</v>
      </c>
      <c r="D217" s="15" t="s">
        <v>77</v>
      </c>
      <c r="E217" s="15">
        <v>2</v>
      </c>
    </row>
    <row r="218" spans="1:5" x14ac:dyDescent="0.25">
      <c r="A218" s="15" t="s">
        <v>16</v>
      </c>
      <c r="B218" s="17">
        <v>44995</v>
      </c>
      <c r="C218" s="15">
        <v>1</v>
      </c>
      <c r="D218" s="15" t="s">
        <v>102</v>
      </c>
      <c r="E218" s="15">
        <v>2</v>
      </c>
    </row>
    <row r="219" spans="1:5" x14ac:dyDescent="0.25">
      <c r="A219" s="15" t="s">
        <v>16</v>
      </c>
      <c r="B219" s="17">
        <v>44995</v>
      </c>
      <c r="C219" s="15">
        <v>1</v>
      </c>
      <c r="D219" s="15" t="s">
        <v>115</v>
      </c>
      <c r="E219" s="15">
        <v>6</v>
      </c>
    </row>
    <row r="220" spans="1:5" x14ac:dyDescent="0.25">
      <c r="A220" s="15" t="s">
        <v>16</v>
      </c>
      <c r="B220" s="17">
        <v>44995</v>
      </c>
      <c r="C220" s="15">
        <v>1</v>
      </c>
      <c r="D220" s="15" t="s">
        <v>80</v>
      </c>
      <c r="E220" s="15">
        <v>19</v>
      </c>
    </row>
    <row r="221" spans="1:5" x14ac:dyDescent="0.25">
      <c r="A221" s="15" t="s">
        <v>16</v>
      </c>
      <c r="B221" s="17">
        <v>44995</v>
      </c>
      <c r="C221" s="15">
        <v>1</v>
      </c>
      <c r="D221" s="15" t="s">
        <v>139</v>
      </c>
      <c r="E221" s="15">
        <v>1</v>
      </c>
    </row>
    <row r="222" spans="1:5" x14ac:dyDescent="0.25">
      <c r="A222" s="15" t="s">
        <v>16</v>
      </c>
      <c r="B222" s="17">
        <v>44995</v>
      </c>
      <c r="C222" s="15">
        <v>1</v>
      </c>
      <c r="D222" s="15" t="s">
        <v>140</v>
      </c>
      <c r="E222" s="15">
        <v>1</v>
      </c>
    </row>
    <row r="223" spans="1:5" x14ac:dyDescent="0.25">
      <c r="A223" s="15" t="s">
        <v>16</v>
      </c>
      <c r="B223" s="17">
        <v>44995</v>
      </c>
      <c r="C223" s="15">
        <v>1</v>
      </c>
      <c r="D223" s="15" t="s">
        <v>105</v>
      </c>
      <c r="E223" s="15">
        <v>5</v>
      </c>
    </row>
    <row r="224" spans="1:5" x14ac:dyDescent="0.25">
      <c r="A224" s="15" t="s">
        <v>16</v>
      </c>
      <c r="B224" s="17">
        <v>44995</v>
      </c>
      <c r="C224" s="15">
        <v>1</v>
      </c>
      <c r="D224" s="15" t="s">
        <v>141</v>
      </c>
      <c r="E224" s="15">
        <v>1</v>
      </c>
    </row>
    <row r="225" spans="1:5" x14ac:dyDescent="0.25">
      <c r="A225" s="15" t="s">
        <v>16</v>
      </c>
      <c r="B225" s="17">
        <v>44995</v>
      </c>
      <c r="C225" s="15">
        <v>1</v>
      </c>
      <c r="D225" s="15" t="s">
        <v>142</v>
      </c>
      <c r="E225" s="15">
        <v>1</v>
      </c>
    </row>
    <row r="226" spans="1:5" x14ac:dyDescent="0.25">
      <c r="A226" s="15" t="s">
        <v>16</v>
      </c>
      <c r="B226" s="17">
        <v>44995</v>
      </c>
      <c r="C226" s="15">
        <v>1</v>
      </c>
      <c r="D226" s="15" t="s">
        <v>143</v>
      </c>
      <c r="E226" s="15">
        <v>2</v>
      </c>
    </row>
    <row r="227" spans="1:5" x14ac:dyDescent="0.25">
      <c r="A227" s="15" t="s">
        <v>16</v>
      </c>
      <c r="B227" s="17">
        <v>44995</v>
      </c>
      <c r="C227" s="15">
        <v>1</v>
      </c>
      <c r="D227" s="15" t="s">
        <v>144</v>
      </c>
      <c r="E227" s="15">
        <v>1</v>
      </c>
    </row>
    <row r="228" spans="1:5" x14ac:dyDescent="0.25">
      <c r="A228" s="15" t="s">
        <v>16</v>
      </c>
      <c r="B228" s="17">
        <v>44995</v>
      </c>
      <c r="C228" s="15">
        <v>1</v>
      </c>
      <c r="D228" s="15" t="s">
        <v>92</v>
      </c>
      <c r="E228" s="15">
        <v>5</v>
      </c>
    </row>
    <row r="229" spans="1:5" x14ac:dyDescent="0.25">
      <c r="A229" s="15" t="s">
        <v>16</v>
      </c>
      <c r="B229" s="17">
        <v>44995</v>
      </c>
      <c r="C229" s="15">
        <v>1</v>
      </c>
      <c r="D229" s="15" t="s">
        <v>145</v>
      </c>
      <c r="E229" s="15">
        <v>1</v>
      </c>
    </row>
    <row r="230" spans="1:5" x14ac:dyDescent="0.25">
      <c r="A230" s="15" t="s">
        <v>16</v>
      </c>
      <c r="B230" s="17">
        <v>44995</v>
      </c>
      <c r="C230" s="15">
        <v>1</v>
      </c>
      <c r="D230" s="15" t="s">
        <v>107</v>
      </c>
      <c r="E230" s="15">
        <v>1</v>
      </c>
    </row>
    <row r="231" spans="1:5" x14ac:dyDescent="0.25">
      <c r="A231" s="15" t="s">
        <v>16</v>
      </c>
      <c r="B231" s="17">
        <v>44995</v>
      </c>
      <c r="C231" s="15">
        <v>1</v>
      </c>
      <c r="D231" s="15" t="s">
        <v>136</v>
      </c>
      <c r="E231" s="15">
        <v>2</v>
      </c>
    </row>
    <row r="232" spans="1:5" x14ac:dyDescent="0.25">
      <c r="A232" s="15" t="s">
        <v>16</v>
      </c>
      <c r="B232" s="17">
        <v>44995</v>
      </c>
      <c r="C232" s="15">
        <v>1</v>
      </c>
      <c r="D232" s="15" t="s">
        <v>84</v>
      </c>
      <c r="E232" s="15">
        <v>3</v>
      </c>
    </row>
    <row r="233" spans="1:5" x14ac:dyDescent="0.25">
      <c r="A233" s="15" t="s">
        <v>16</v>
      </c>
      <c r="B233" s="17">
        <v>44995</v>
      </c>
      <c r="C233" s="15">
        <v>1</v>
      </c>
      <c r="D233" s="15" t="s">
        <v>85</v>
      </c>
      <c r="E233" s="15">
        <v>1</v>
      </c>
    </row>
    <row r="234" spans="1:5" x14ac:dyDescent="0.25">
      <c r="A234" s="15" t="s">
        <v>16</v>
      </c>
      <c r="B234" s="17">
        <v>44995</v>
      </c>
      <c r="C234" s="15">
        <v>1</v>
      </c>
      <c r="D234" s="15" t="s">
        <v>108</v>
      </c>
      <c r="E234" s="15">
        <v>4</v>
      </c>
    </row>
    <row r="235" spans="1:5" x14ac:dyDescent="0.25">
      <c r="A235" s="15" t="s">
        <v>16</v>
      </c>
      <c r="B235" s="17">
        <v>44995</v>
      </c>
      <c r="C235" s="15">
        <v>1</v>
      </c>
      <c r="D235" s="15" t="s">
        <v>88</v>
      </c>
      <c r="E235" s="15">
        <v>2</v>
      </c>
    </row>
    <row r="236" spans="1:5" x14ac:dyDescent="0.25">
      <c r="A236" s="15" t="s">
        <v>16</v>
      </c>
      <c r="B236" s="17">
        <v>44995</v>
      </c>
      <c r="C236" s="15">
        <v>1</v>
      </c>
      <c r="D236" s="15" t="s">
        <v>128</v>
      </c>
      <c r="E236" s="15">
        <v>3</v>
      </c>
    </row>
    <row r="237" spans="1:5" x14ac:dyDescent="0.25">
      <c r="A237" s="15" t="s">
        <v>16</v>
      </c>
      <c r="B237" s="17">
        <v>44995</v>
      </c>
      <c r="C237" s="15">
        <v>1</v>
      </c>
      <c r="D237" s="15" t="s">
        <v>146</v>
      </c>
      <c r="E237" s="15">
        <v>3</v>
      </c>
    </row>
    <row r="238" spans="1:5" x14ac:dyDescent="0.25">
      <c r="A238" s="15" t="s">
        <v>16</v>
      </c>
      <c r="B238" s="17">
        <v>44995</v>
      </c>
      <c r="C238" s="15">
        <v>1</v>
      </c>
      <c r="D238" s="15" t="s">
        <v>147</v>
      </c>
      <c r="E238" s="15">
        <v>1</v>
      </c>
    </row>
    <row r="239" spans="1:5" x14ac:dyDescent="0.25">
      <c r="A239" s="15" t="s">
        <v>16</v>
      </c>
      <c r="B239" s="17">
        <v>44995</v>
      </c>
      <c r="C239" s="15">
        <v>1</v>
      </c>
      <c r="D239" s="15" t="s">
        <v>148</v>
      </c>
      <c r="E239" s="15">
        <v>1</v>
      </c>
    </row>
    <row r="240" spans="1:5" x14ac:dyDescent="0.25">
      <c r="A240" s="15" t="s">
        <v>16</v>
      </c>
      <c r="B240" s="17">
        <v>44995</v>
      </c>
      <c r="C240" s="15">
        <v>2</v>
      </c>
      <c r="D240" s="15" t="s">
        <v>149</v>
      </c>
      <c r="E240" s="15">
        <v>4</v>
      </c>
    </row>
    <row r="241" spans="1:5" x14ac:dyDescent="0.25">
      <c r="A241" s="15" t="s">
        <v>16</v>
      </c>
      <c r="B241" s="17">
        <v>44995</v>
      </c>
      <c r="C241" s="15">
        <v>2</v>
      </c>
      <c r="D241" s="15" t="s">
        <v>134</v>
      </c>
      <c r="E241" s="15">
        <v>1</v>
      </c>
    </row>
    <row r="242" spans="1:5" x14ac:dyDescent="0.25">
      <c r="A242" s="15" t="s">
        <v>16</v>
      </c>
      <c r="B242" s="17">
        <v>44995</v>
      </c>
      <c r="C242" s="15">
        <v>2</v>
      </c>
      <c r="D242" s="15" t="s">
        <v>66</v>
      </c>
      <c r="E242" s="15">
        <v>6</v>
      </c>
    </row>
    <row r="243" spans="1:5" x14ac:dyDescent="0.25">
      <c r="A243" s="15" t="s">
        <v>16</v>
      </c>
      <c r="B243" s="17">
        <v>44995</v>
      </c>
      <c r="C243" s="15">
        <v>2</v>
      </c>
      <c r="D243" s="15" t="s">
        <v>89</v>
      </c>
      <c r="E243" s="15">
        <v>10</v>
      </c>
    </row>
    <row r="244" spans="1:5" x14ac:dyDescent="0.25">
      <c r="A244" s="15" t="s">
        <v>16</v>
      </c>
      <c r="B244" s="17">
        <v>44995</v>
      </c>
      <c r="C244" s="15">
        <v>2</v>
      </c>
      <c r="D244" s="15" t="s">
        <v>150</v>
      </c>
      <c r="E244" s="15">
        <v>1</v>
      </c>
    </row>
    <row r="245" spans="1:5" x14ac:dyDescent="0.25">
      <c r="A245" s="15" t="s">
        <v>16</v>
      </c>
      <c r="B245" s="17">
        <v>44995</v>
      </c>
      <c r="C245" s="15">
        <v>2</v>
      </c>
      <c r="D245" s="15" t="s">
        <v>70</v>
      </c>
      <c r="E245" s="15">
        <v>15</v>
      </c>
    </row>
    <row r="246" spans="1:5" x14ac:dyDescent="0.25">
      <c r="A246" s="15" t="s">
        <v>16</v>
      </c>
      <c r="B246" s="17">
        <v>44995</v>
      </c>
      <c r="C246" s="15">
        <v>2</v>
      </c>
      <c r="D246" s="15" t="s">
        <v>72</v>
      </c>
      <c r="E246" s="15">
        <v>17</v>
      </c>
    </row>
    <row r="247" spans="1:5" x14ac:dyDescent="0.25">
      <c r="A247" s="15" t="s">
        <v>16</v>
      </c>
      <c r="B247" s="17">
        <v>44995</v>
      </c>
      <c r="C247" s="15">
        <v>2</v>
      </c>
      <c r="D247" s="15" t="s">
        <v>114</v>
      </c>
      <c r="E247" s="15">
        <v>1</v>
      </c>
    </row>
    <row r="248" spans="1:5" x14ac:dyDescent="0.25">
      <c r="A248" s="15" t="s">
        <v>16</v>
      </c>
      <c r="B248" s="17">
        <v>44995</v>
      </c>
      <c r="C248" s="15">
        <v>2</v>
      </c>
      <c r="D248" s="15" t="s">
        <v>73</v>
      </c>
      <c r="E248" s="15">
        <v>2</v>
      </c>
    </row>
    <row r="249" spans="1:5" x14ac:dyDescent="0.25">
      <c r="A249" s="15" t="s">
        <v>16</v>
      </c>
      <c r="B249" s="17">
        <v>44995</v>
      </c>
      <c r="C249" s="15">
        <v>2</v>
      </c>
      <c r="D249" s="15" t="s">
        <v>91</v>
      </c>
      <c r="E249" s="15">
        <v>2</v>
      </c>
    </row>
    <row r="250" spans="1:5" x14ac:dyDescent="0.25">
      <c r="A250" s="15" t="s">
        <v>16</v>
      </c>
      <c r="B250" s="17">
        <v>44995</v>
      </c>
      <c r="C250" s="15">
        <v>2</v>
      </c>
      <c r="D250" s="15" t="s">
        <v>76</v>
      </c>
      <c r="E250" s="15">
        <v>1</v>
      </c>
    </row>
    <row r="251" spans="1:5" x14ac:dyDescent="0.25">
      <c r="A251" s="15" t="s">
        <v>16</v>
      </c>
      <c r="B251" s="17">
        <v>44995</v>
      </c>
      <c r="C251" s="15">
        <v>2</v>
      </c>
      <c r="D251" s="15" t="s">
        <v>100</v>
      </c>
      <c r="E251" s="15">
        <v>2</v>
      </c>
    </row>
    <row r="252" spans="1:5" x14ac:dyDescent="0.25">
      <c r="A252" s="15" t="s">
        <v>16</v>
      </c>
      <c r="B252" s="17">
        <v>44995</v>
      </c>
      <c r="C252" s="15">
        <v>2</v>
      </c>
      <c r="D252" s="15" t="s">
        <v>77</v>
      </c>
      <c r="E252" s="15">
        <v>3</v>
      </c>
    </row>
    <row r="253" spans="1:5" x14ac:dyDescent="0.25">
      <c r="A253" s="15" t="s">
        <v>16</v>
      </c>
      <c r="B253" s="17">
        <v>44995</v>
      </c>
      <c r="C253" s="15">
        <v>2</v>
      </c>
      <c r="D253" s="15" t="s">
        <v>115</v>
      </c>
      <c r="E253" s="15">
        <v>7</v>
      </c>
    </row>
    <row r="254" spans="1:5" x14ac:dyDescent="0.25">
      <c r="A254" s="15" t="s">
        <v>16</v>
      </c>
      <c r="B254" s="17">
        <v>44995</v>
      </c>
      <c r="C254" s="15">
        <v>2</v>
      </c>
      <c r="D254" s="15" t="s">
        <v>80</v>
      </c>
      <c r="E254" s="15">
        <v>22</v>
      </c>
    </row>
    <row r="255" spans="1:5" x14ac:dyDescent="0.25">
      <c r="A255" s="15" t="s">
        <v>16</v>
      </c>
      <c r="B255" s="17">
        <v>44995</v>
      </c>
      <c r="C255" s="15">
        <v>2</v>
      </c>
      <c r="D255" s="15" t="s">
        <v>151</v>
      </c>
      <c r="E255" s="15">
        <v>1</v>
      </c>
    </row>
    <row r="256" spans="1:5" x14ac:dyDescent="0.25">
      <c r="A256" s="15" t="s">
        <v>16</v>
      </c>
      <c r="B256" s="17">
        <v>44995</v>
      </c>
      <c r="C256" s="15">
        <v>2</v>
      </c>
      <c r="D256" s="15" t="s">
        <v>139</v>
      </c>
      <c r="E256" s="15">
        <v>2</v>
      </c>
    </row>
    <row r="257" spans="1:5" x14ac:dyDescent="0.25">
      <c r="A257" s="15" t="s">
        <v>16</v>
      </c>
      <c r="B257" s="17">
        <v>44995</v>
      </c>
      <c r="C257" s="15">
        <v>2</v>
      </c>
      <c r="D257" s="15" t="s">
        <v>105</v>
      </c>
      <c r="E257" s="15">
        <v>8</v>
      </c>
    </row>
    <row r="258" spans="1:5" x14ac:dyDescent="0.25">
      <c r="A258" s="15" t="s">
        <v>16</v>
      </c>
      <c r="B258" s="17">
        <v>44995</v>
      </c>
      <c r="C258" s="15">
        <v>2</v>
      </c>
      <c r="D258" s="15" t="s">
        <v>81</v>
      </c>
      <c r="E258" s="15">
        <v>1</v>
      </c>
    </row>
    <row r="259" spans="1:5" x14ac:dyDescent="0.25">
      <c r="A259" s="15" t="s">
        <v>16</v>
      </c>
      <c r="B259" s="17">
        <v>44995</v>
      </c>
      <c r="C259" s="15">
        <v>2</v>
      </c>
      <c r="D259" s="15" t="s">
        <v>152</v>
      </c>
      <c r="E259" s="15">
        <v>1</v>
      </c>
    </row>
    <row r="260" spans="1:5" x14ac:dyDescent="0.25">
      <c r="A260" s="15" t="s">
        <v>16</v>
      </c>
      <c r="B260" s="17">
        <v>44995</v>
      </c>
      <c r="C260" s="15">
        <v>2</v>
      </c>
      <c r="D260" s="15" t="s">
        <v>153</v>
      </c>
      <c r="E260" s="15">
        <v>1</v>
      </c>
    </row>
    <row r="261" spans="1:5" x14ac:dyDescent="0.25">
      <c r="A261" s="15" t="s">
        <v>16</v>
      </c>
      <c r="B261" s="17">
        <v>44995</v>
      </c>
      <c r="C261" s="15">
        <v>2</v>
      </c>
      <c r="D261" s="15" t="s">
        <v>143</v>
      </c>
      <c r="E261" s="15">
        <v>2</v>
      </c>
    </row>
    <row r="262" spans="1:5" x14ac:dyDescent="0.25">
      <c r="A262" s="15" t="s">
        <v>16</v>
      </c>
      <c r="B262" s="17">
        <v>44995</v>
      </c>
      <c r="C262" s="15">
        <v>2</v>
      </c>
      <c r="D262" s="15" t="s">
        <v>144</v>
      </c>
      <c r="E262" s="15">
        <v>1</v>
      </c>
    </row>
    <row r="263" spans="1:5" x14ac:dyDescent="0.25">
      <c r="A263" s="15" t="s">
        <v>16</v>
      </c>
      <c r="B263" s="17">
        <v>44995</v>
      </c>
      <c r="C263" s="15">
        <v>2</v>
      </c>
      <c r="D263" s="15" t="s">
        <v>106</v>
      </c>
      <c r="E263" s="15">
        <v>1</v>
      </c>
    </row>
    <row r="264" spans="1:5" x14ac:dyDescent="0.25">
      <c r="A264" s="15" t="s">
        <v>16</v>
      </c>
      <c r="B264" s="17">
        <v>44995</v>
      </c>
      <c r="C264" s="15">
        <v>2</v>
      </c>
      <c r="D264" s="15" t="s">
        <v>92</v>
      </c>
      <c r="E264" s="15">
        <v>3</v>
      </c>
    </row>
    <row r="265" spans="1:5" x14ac:dyDescent="0.25">
      <c r="A265" s="15" t="s">
        <v>16</v>
      </c>
      <c r="B265" s="17">
        <v>44995</v>
      </c>
      <c r="C265" s="15">
        <v>2</v>
      </c>
      <c r="D265" s="15" t="s">
        <v>145</v>
      </c>
      <c r="E265" s="15">
        <v>1</v>
      </c>
    </row>
    <row r="266" spans="1:5" x14ac:dyDescent="0.25">
      <c r="A266" s="15" t="s">
        <v>16</v>
      </c>
      <c r="B266" s="17">
        <v>44995</v>
      </c>
      <c r="C266" s="15">
        <v>2</v>
      </c>
      <c r="D266" s="15" t="s">
        <v>136</v>
      </c>
      <c r="E266" s="15">
        <v>4</v>
      </c>
    </row>
    <row r="267" spans="1:5" x14ac:dyDescent="0.25">
      <c r="A267" s="15" t="s">
        <v>16</v>
      </c>
      <c r="B267" s="17">
        <v>44995</v>
      </c>
      <c r="C267" s="15">
        <v>2</v>
      </c>
      <c r="D267" s="15" t="s">
        <v>84</v>
      </c>
      <c r="E267" s="15">
        <v>3</v>
      </c>
    </row>
    <row r="268" spans="1:5" x14ac:dyDescent="0.25">
      <c r="A268" s="15" t="s">
        <v>16</v>
      </c>
      <c r="B268" s="17">
        <v>44995</v>
      </c>
      <c r="C268" s="15">
        <v>2</v>
      </c>
      <c r="D268" s="15" t="s">
        <v>85</v>
      </c>
      <c r="E268" s="15">
        <v>1</v>
      </c>
    </row>
    <row r="269" spans="1:5" x14ac:dyDescent="0.25">
      <c r="A269" s="15" t="s">
        <v>16</v>
      </c>
      <c r="B269" s="17">
        <v>44995</v>
      </c>
      <c r="C269" s="15">
        <v>2</v>
      </c>
      <c r="D269" s="15" t="s">
        <v>108</v>
      </c>
      <c r="E269" s="15">
        <v>4</v>
      </c>
    </row>
    <row r="270" spans="1:5" x14ac:dyDescent="0.25">
      <c r="A270" s="15" t="s">
        <v>16</v>
      </c>
      <c r="B270" s="17">
        <v>44995</v>
      </c>
      <c r="C270" s="15">
        <v>2</v>
      </c>
      <c r="D270" s="15" t="s">
        <v>118</v>
      </c>
      <c r="E270" s="15">
        <v>2</v>
      </c>
    </row>
    <row r="271" spans="1:5" x14ac:dyDescent="0.25">
      <c r="A271" s="15" t="s">
        <v>16</v>
      </c>
      <c r="B271" s="17">
        <v>44995</v>
      </c>
      <c r="C271" s="15">
        <v>2</v>
      </c>
      <c r="D271" s="15" t="s">
        <v>154</v>
      </c>
      <c r="E271" s="15">
        <v>1</v>
      </c>
    </row>
    <row r="272" spans="1:5" x14ac:dyDescent="0.25">
      <c r="A272" s="15" t="s">
        <v>16</v>
      </c>
      <c r="B272" s="17">
        <v>44995</v>
      </c>
      <c r="C272" s="15">
        <v>2</v>
      </c>
      <c r="D272" s="15" t="s">
        <v>87</v>
      </c>
      <c r="E272" s="15">
        <v>3</v>
      </c>
    </row>
    <row r="273" spans="1:5" x14ac:dyDescent="0.25">
      <c r="A273" s="15" t="s">
        <v>16</v>
      </c>
      <c r="B273" s="17">
        <v>44995</v>
      </c>
      <c r="C273" s="15">
        <v>2</v>
      </c>
      <c r="D273" s="15" t="s">
        <v>88</v>
      </c>
      <c r="E273" s="15">
        <v>1</v>
      </c>
    </row>
    <row r="274" spans="1:5" x14ac:dyDescent="0.25">
      <c r="A274" s="15" t="s">
        <v>16</v>
      </c>
      <c r="B274" s="17">
        <v>44995</v>
      </c>
      <c r="C274" s="15">
        <v>2</v>
      </c>
      <c r="D274" s="15" t="s">
        <v>128</v>
      </c>
      <c r="E274" s="15">
        <v>2</v>
      </c>
    </row>
    <row r="275" spans="1:5" x14ac:dyDescent="0.25">
      <c r="A275" s="15" t="s">
        <v>16</v>
      </c>
      <c r="B275" s="17">
        <v>44995</v>
      </c>
      <c r="C275" s="15">
        <v>2</v>
      </c>
      <c r="D275" s="15" t="s">
        <v>146</v>
      </c>
      <c r="E275" s="15">
        <v>2</v>
      </c>
    </row>
    <row r="276" spans="1:5" x14ac:dyDescent="0.25">
      <c r="A276" s="15" t="s">
        <v>16</v>
      </c>
      <c r="B276" s="17">
        <v>44995</v>
      </c>
      <c r="C276" s="15">
        <v>2</v>
      </c>
      <c r="D276" s="15" t="s">
        <v>133</v>
      </c>
      <c r="E276" s="15">
        <v>1</v>
      </c>
    </row>
    <row r="277" spans="1:5" x14ac:dyDescent="0.25">
      <c r="A277" s="15" t="s">
        <v>16</v>
      </c>
      <c r="B277" s="17">
        <v>44995</v>
      </c>
      <c r="C277" s="15">
        <v>2</v>
      </c>
      <c r="D277" s="15" t="s">
        <v>155</v>
      </c>
      <c r="E277" s="15">
        <v>1</v>
      </c>
    </row>
    <row r="278" spans="1:5" x14ac:dyDescent="0.25">
      <c r="A278" s="15" t="s">
        <v>16</v>
      </c>
      <c r="B278" s="17">
        <v>44995</v>
      </c>
      <c r="C278" s="15">
        <v>2</v>
      </c>
      <c r="D278" s="15" t="s">
        <v>147</v>
      </c>
      <c r="E278" s="15">
        <v>2</v>
      </c>
    </row>
    <row r="279" spans="1:5" x14ac:dyDescent="0.25">
      <c r="A279" s="15" t="s">
        <v>13</v>
      </c>
      <c r="B279" s="17">
        <v>44987</v>
      </c>
      <c r="C279" s="15">
        <v>1</v>
      </c>
      <c r="D279" s="15" t="s">
        <v>149</v>
      </c>
      <c r="E279" s="15">
        <v>1</v>
      </c>
    </row>
    <row r="280" spans="1:5" x14ac:dyDescent="0.25">
      <c r="A280" s="15" t="s">
        <v>13</v>
      </c>
      <c r="B280" s="17">
        <v>44987</v>
      </c>
      <c r="C280" s="15">
        <v>1</v>
      </c>
      <c r="D280" s="15" t="s">
        <v>134</v>
      </c>
      <c r="E280" s="15">
        <v>2</v>
      </c>
    </row>
    <row r="281" spans="1:5" x14ac:dyDescent="0.25">
      <c r="A281" s="15" t="s">
        <v>13</v>
      </c>
      <c r="B281" s="17">
        <v>44987</v>
      </c>
      <c r="C281" s="15">
        <v>1</v>
      </c>
      <c r="D281" s="15" t="s">
        <v>94</v>
      </c>
      <c r="E281" s="15">
        <v>1</v>
      </c>
    </row>
    <row r="282" spans="1:5" x14ac:dyDescent="0.25">
      <c r="A282" s="15" t="s">
        <v>13</v>
      </c>
      <c r="B282" s="17">
        <v>44987</v>
      </c>
      <c r="C282" s="15">
        <v>1</v>
      </c>
      <c r="D282" s="15" t="s">
        <v>95</v>
      </c>
      <c r="E282" s="15">
        <v>9</v>
      </c>
    </row>
    <row r="283" spans="1:5" x14ac:dyDescent="0.25">
      <c r="A283" s="15" t="s">
        <v>13</v>
      </c>
      <c r="B283" s="17">
        <v>44987</v>
      </c>
      <c r="C283" s="15">
        <v>1</v>
      </c>
      <c r="D283" s="15" t="s">
        <v>66</v>
      </c>
      <c r="E283" s="15">
        <v>33</v>
      </c>
    </row>
    <row r="284" spans="1:5" x14ac:dyDescent="0.25">
      <c r="A284" s="15" t="s">
        <v>13</v>
      </c>
      <c r="B284" s="17">
        <v>44987</v>
      </c>
      <c r="C284" s="15">
        <v>1</v>
      </c>
      <c r="D284" s="15" t="s">
        <v>123</v>
      </c>
      <c r="E284" s="15">
        <v>4</v>
      </c>
    </row>
    <row r="285" spans="1:5" x14ac:dyDescent="0.25">
      <c r="A285" s="15" t="s">
        <v>13</v>
      </c>
      <c r="B285" s="17">
        <v>44987</v>
      </c>
      <c r="C285" s="15">
        <v>1</v>
      </c>
      <c r="D285" s="15" t="s">
        <v>89</v>
      </c>
      <c r="E285" s="15">
        <v>2</v>
      </c>
    </row>
    <row r="286" spans="1:5" x14ac:dyDescent="0.25">
      <c r="A286" s="15" t="s">
        <v>13</v>
      </c>
      <c r="B286" s="17">
        <v>44987</v>
      </c>
      <c r="C286" s="15">
        <v>1</v>
      </c>
      <c r="D286" s="15" t="s">
        <v>68</v>
      </c>
      <c r="E286" s="15">
        <v>7</v>
      </c>
    </row>
    <row r="287" spans="1:5" x14ac:dyDescent="0.25">
      <c r="A287" s="15" t="s">
        <v>13</v>
      </c>
      <c r="B287" s="17">
        <v>44987</v>
      </c>
      <c r="C287" s="15">
        <v>1</v>
      </c>
      <c r="D287" s="15" t="s">
        <v>70</v>
      </c>
      <c r="E287" s="15">
        <v>2</v>
      </c>
    </row>
    <row r="288" spans="1:5" x14ac:dyDescent="0.25">
      <c r="A288" s="15" t="s">
        <v>13</v>
      </c>
      <c r="B288" s="17">
        <v>44987</v>
      </c>
      <c r="C288" s="15">
        <v>1</v>
      </c>
      <c r="D288" s="15" t="s">
        <v>72</v>
      </c>
      <c r="E288" s="15">
        <v>26</v>
      </c>
    </row>
    <row r="289" spans="1:5" x14ac:dyDescent="0.25">
      <c r="A289" s="15" t="s">
        <v>13</v>
      </c>
      <c r="B289" s="17">
        <v>44987</v>
      </c>
      <c r="C289" s="15">
        <v>1</v>
      </c>
      <c r="D289" s="15" t="s">
        <v>91</v>
      </c>
      <c r="E289" s="15">
        <v>5</v>
      </c>
    </row>
    <row r="290" spans="1:5" x14ac:dyDescent="0.25">
      <c r="A290" s="15" t="s">
        <v>13</v>
      </c>
      <c r="B290" s="17">
        <v>44987</v>
      </c>
      <c r="C290" s="15">
        <v>1</v>
      </c>
      <c r="D290" s="15" t="s">
        <v>75</v>
      </c>
      <c r="E290" s="15">
        <v>1</v>
      </c>
    </row>
    <row r="291" spans="1:5" x14ac:dyDescent="0.25">
      <c r="A291" s="15" t="s">
        <v>13</v>
      </c>
      <c r="B291" s="17">
        <v>44987</v>
      </c>
      <c r="C291" s="15">
        <v>1</v>
      </c>
      <c r="D291" s="15" t="s">
        <v>124</v>
      </c>
      <c r="E291" s="15">
        <v>1</v>
      </c>
    </row>
    <row r="292" spans="1:5" x14ac:dyDescent="0.25">
      <c r="A292" s="15" t="s">
        <v>13</v>
      </c>
      <c r="B292" s="17">
        <v>44987</v>
      </c>
      <c r="C292" s="15">
        <v>1</v>
      </c>
      <c r="D292" s="15" t="s">
        <v>101</v>
      </c>
      <c r="E292" s="15">
        <v>1</v>
      </c>
    </row>
    <row r="293" spans="1:5" x14ac:dyDescent="0.25">
      <c r="A293" s="15" t="s">
        <v>13</v>
      </c>
      <c r="B293" s="17">
        <v>44987</v>
      </c>
      <c r="C293" s="15">
        <v>1</v>
      </c>
      <c r="D293" s="15" t="s">
        <v>102</v>
      </c>
      <c r="E293" s="15">
        <v>1</v>
      </c>
    </row>
    <row r="294" spans="1:5" x14ac:dyDescent="0.25">
      <c r="A294" s="15" t="s">
        <v>13</v>
      </c>
      <c r="B294" s="17">
        <v>44987</v>
      </c>
      <c r="C294" s="15">
        <v>1</v>
      </c>
      <c r="D294" s="15" t="s">
        <v>103</v>
      </c>
      <c r="E294" s="15">
        <v>1</v>
      </c>
    </row>
    <row r="295" spans="1:5" x14ac:dyDescent="0.25">
      <c r="A295" s="15" t="s">
        <v>13</v>
      </c>
      <c r="B295" s="17">
        <v>44987</v>
      </c>
      <c r="C295" s="15">
        <v>1</v>
      </c>
      <c r="D295" s="15" t="s">
        <v>115</v>
      </c>
      <c r="E295" s="15">
        <v>4</v>
      </c>
    </row>
    <row r="296" spans="1:5" x14ac:dyDescent="0.25">
      <c r="A296" s="15" t="s">
        <v>13</v>
      </c>
      <c r="B296" s="17">
        <v>44987</v>
      </c>
      <c r="C296" s="15">
        <v>1</v>
      </c>
      <c r="D296" s="15" t="s">
        <v>79</v>
      </c>
      <c r="E296" s="15">
        <v>8</v>
      </c>
    </row>
    <row r="297" spans="1:5" x14ac:dyDescent="0.25">
      <c r="A297" s="15" t="s">
        <v>13</v>
      </c>
      <c r="B297" s="17">
        <v>44987</v>
      </c>
      <c r="C297" s="15">
        <v>1</v>
      </c>
      <c r="D297" s="15" t="s">
        <v>153</v>
      </c>
      <c r="E297" s="15">
        <v>3</v>
      </c>
    </row>
    <row r="298" spans="1:5" x14ac:dyDescent="0.25">
      <c r="A298" s="15" t="s">
        <v>13</v>
      </c>
      <c r="B298" s="17">
        <v>44987</v>
      </c>
      <c r="C298" s="15">
        <v>1</v>
      </c>
      <c r="D298" s="15" t="s">
        <v>106</v>
      </c>
      <c r="E298" s="15">
        <v>1</v>
      </c>
    </row>
    <row r="299" spans="1:5" x14ac:dyDescent="0.25">
      <c r="A299" s="15" t="s">
        <v>13</v>
      </c>
      <c r="B299" s="17">
        <v>44987</v>
      </c>
      <c r="C299" s="15">
        <v>1</v>
      </c>
      <c r="D299" s="15" t="s">
        <v>92</v>
      </c>
      <c r="E299" s="15">
        <v>2</v>
      </c>
    </row>
    <row r="300" spans="1:5" x14ac:dyDescent="0.25">
      <c r="A300" s="15" t="s">
        <v>13</v>
      </c>
      <c r="B300" s="17">
        <v>44987</v>
      </c>
      <c r="C300" s="15">
        <v>1</v>
      </c>
      <c r="D300" s="15" t="s">
        <v>136</v>
      </c>
      <c r="E300" s="15">
        <v>3</v>
      </c>
    </row>
    <row r="301" spans="1:5" x14ac:dyDescent="0.25">
      <c r="A301" s="15" t="s">
        <v>13</v>
      </c>
      <c r="B301" s="17">
        <v>44987</v>
      </c>
      <c r="C301" s="15">
        <v>1</v>
      </c>
      <c r="D301" s="15" t="s">
        <v>83</v>
      </c>
      <c r="E301" s="15">
        <v>2</v>
      </c>
    </row>
    <row r="302" spans="1:5" x14ac:dyDescent="0.25">
      <c r="A302" s="15" t="s">
        <v>13</v>
      </c>
      <c r="B302" s="17">
        <v>44987</v>
      </c>
      <c r="C302" s="15">
        <v>1</v>
      </c>
      <c r="D302" s="15" t="s">
        <v>84</v>
      </c>
      <c r="E302" s="15">
        <v>1</v>
      </c>
    </row>
    <row r="303" spans="1:5" x14ac:dyDescent="0.25">
      <c r="A303" s="15" t="s">
        <v>13</v>
      </c>
      <c r="B303" s="17">
        <v>44987</v>
      </c>
      <c r="C303" s="15">
        <v>1</v>
      </c>
      <c r="D303" s="15" t="s">
        <v>85</v>
      </c>
      <c r="E303" s="15">
        <v>5</v>
      </c>
    </row>
    <row r="304" spans="1:5" x14ac:dyDescent="0.25">
      <c r="A304" s="15" t="s">
        <v>13</v>
      </c>
      <c r="B304" s="17">
        <v>44987</v>
      </c>
      <c r="C304" s="15">
        <v>1</v>
      </c>
      <c r="D304" s="15" t="s">
        <v>108</v>
      </c>
      <c r="E304" s="15">
        <v>29</v>
      </c>
    </row>
    <row r="305" spans="1:5" x14ac:dyDescent="0.25">
      <c r="A305" s="15" t="s">
        <v>13</v>
      </c>
      <c r="B305" s="17">
        <v>44987</v>
      </c>
      <c r="C305" s="15">
        <v>1</v>
      </c>
      <c r="D305" s="15" t="s">
        <v>156</v>
      </c>
      <c r="E305" s="15">
        <v>3</v>
      </c>
    </row>
    <row r="306" spans="1:5" x14ac:dyDescent="0.25">
      <c r="A306" s="15" t="s">
        <v>13</v>
      </c>
      <c r="B306" s="17">
        <v>44987</v>
      </c>
      <c r="C306" s="15">
        <v>1</v>
      </c>
      <c r="D306" s="15" t="s">
        <v>119</v>
      </c>
      <c r="E306" s="15">
        <v>1</v>
      </c>
    </row>
    <row r="307" spans="1:5" x14ac:dyDescent="0.25">
      <c r="A307" s="15" t="s">
        <v>13</v>
      </c>
      <c r="B307" s="17">
        <v>44987</v>
      </c>
      <c r="C307" s="15">
        <v>2</v>
      </c>
      <c r="D307" s="15" t="s">
        <v>122</v>
      </c>
      <c r="E307" s="15">
        <v>1</v>
      </c>
    </row>
    <row r="308" spans="1:5" x14ac:dyDescent="0.25">
      <c r="A308" s="15" t="s">
        <v>13</v>
      </c>
      <c r="B308" s="17">
        <v>44987</v>
      </c>
      <c r="C308" s="15">
        <v>2</v>
      </c>
      <c r="D308" s="15" t="s">
        <v>134</v>
      </c>
      <c r="E308" s="15">
        <v>1</v>
      </c>
    </row>
    <row r="309" spans="1:5" x14ac:dyDescent="0.25">
      <c r="A309" s="15" t="s">
        <v>13</v>
      </c>
      <c r="B309" s="17">
        <v>44987</v>
      </c>
      <c r="C309" s="15">
        <v>2</v>
      </c>
      <c r="D309" s="15" t="s">
        <v>127</v>
      </c>
      <c r="E309" s="15">
        <v>2</v>
      </c>
    </row>
    <row r="310" spans="1:5" x14ac:dyDescent="0.25">
      <c r="A310" s="15" t="s">
        <v>13</v>
      </c>
      <c r="B310" s="17">
        <v>44987</v>
      </c>
      <c r="C310" s="15">
        <v>2</v>
      </c>
      <c r="D310" s="15" t="s">
        <v>157</v>
      </c>
      <c r="E310" s="15">
        <v>1</v>
      </c>
    </row>
    <row r="311" spans="1:5" x14ac:dyDescent="0.25">
      <c r="A311" s="15" t="s">
        <v>13</v>
      </c>
      <c r="B311" s="17">
        <v>44987</v>
      </c>
      <c r="C311" s="15">
        <v>2</v>
      </c>
      <c r="D311" s="15" t="s">
        <v>95</v>
      </c>
      <c r="E311" s="15">
        <v>13</v>
      </c>
    </row>
    <row r="312" spans="1:5" x14ac:dyDescent="0.25">
      <c r="A312" s="15" t="s">
        <v>13</v>
      </c>
      <c r="B312" s="17">
        <v>44987</v>
      </c>
      <c r="C312" s="15">
        <v>2</v>
      </c>
      <c r="D312" s="15" t="s">
        <v>66</v>
      </c>
      <c r="E312" s="15">
        <v>28</v>
      </c>
    </row>
    <row r="313" spans="1:5" x14ac:dyDescent="0.25">
      <c r="A313" s="15" t="s">
        <v>13</v>
      </c>
      <c r="B313" s="17">
        <v>44987</v>
      </c>
      <c r="C313" s="15">
        <v>2</v>
      </c>
      <c r="D313" s="15" t="s">
        <v>123</v>
      </c>
      <c r="E313" s="15">
        <v>4</v>
      </c>
    </row>
    <row r="314" spans="1:5" x14ac:dyDescent="0.25">
      <c r="A314" s="15" t="s">
        <v>13</v>
      </c>
      <c r="B314" s="17">
        <v>44987</v>
      </c>
      <c r="C314" s="15">
        <v>2</v>
      </c>
      <c r="D314" s="15" t="s">
        <v>130</v>
      </c>
      <c r="E314" s="15">
        <v>2</v>
      </c>
    </row>
    <row r="315" spans="1:5" x14ac:dyDescent="0.25">
      <c r="A315" s="15" t="s">
        <v>13</v>
      </c>
      <c r="B315" s="17">
        <v>44987</v>
      </c>
      <c r="C315" s="15">
        <v>2</v>
      </c>
      <c r="D315" s="15" t="s">
        <v>89</v>
      </c>
      <c r="E315" s="15">
        <v>5</v>
      </c>
    </row>
    <row r="316" spans="1:5" x14ac:dyDescent="0.25">
      <c r="A316" s="15" t="s">
        <v>13</v>
      </c>
      <c r="B316" s="17">
        <v>44987</v>
      </c>
      <c r="C316" s="15">
        <v>2</v>
      </c>
      <c r="D316" s="15" t="s">
        <v>68</v>
      </c>
      <c r="E316" s="15">
        <v>7</v>
      </c>
    </row>
    <row r="317" spans="1:5" x14ac:dyDescent="0.25">
      <c r="A317" s="15" t="s">
        <v>13</v>
      </c>
      <c r="B317" s="17">
        <v>44987</v>
      </c>
      <c r="C317" s="15">
        <v>2</v>
      </c>
      <c r="D317" s="15" t="s">
        <v>70</v>
      </c>
      <c r="E317" s="15">
        <v>2</v>
      </c>
    </row>
    <row r="318" spans="1:5" x14ac:dyDescent="0.25">
      <c r="A318" s="15" t="s">
        <v>13</v>
      </c>
      <c r="B318" s="17">
        <v>44987</v>
      </c>
      <c r="C318" s="15">
        <v>2</v>
      </c>
      <c r="D318" s="15" t="s">
        <v>158</v>
      </c>
      <c r="E318" s="15">
        <v>2</v>
      </c>
    </row>
    <row r="319" spans="1:5" x14ac:dyDescent="0.25">
      <c r="A319" s="15" t="s">
        <v>13</v>
      </c>
      <c r="B319" s="17">
        <v>44987</v>
      </c>
      <c r="C319" s="15">
        <v>2</v>
      </c>
      <c r="D319" s="15" t="s">
        <v>72</v>
      </c>
      <c r="E319" s="15">
        <v>35</v>
      </c>
    </row>
    <row r="320" spans="1:5" x14ac:dyDescent="0.25">
      <c r="A320" s="15" t="s">
        <v>13</v>
      </c>
      <c r="B320" s="17">
        <v>44987</v>
      </c>
      <c r="C320" s="15">
        <v>2</v>
      </c>
      <c r="D320" s="15" t="s">
        <v>98</v>
      </c>
      <c r="E320" s="15">
        <v>1</v>
      </c>
    </row>
    <row r="321" spans="1:5" x14ac:dyDescent="0.25">
      <c r="A321" s="15" t="s">
        <v>13</v>
      </c>
      <c r="B321" s="17">
        <v>44987</v>
      </c>
      <c r="C321" s="15">
        <v>2</v>
      </c>
      <c r="D321" s="15" t="s">
        <v>99</v>
      </c>
      <c r="E321" s="15">
        <v>1</v>
      </c>
    </row>
    <row r="322" spans="1:5" x14ac:dyDescent="0.25">
      <c r="A322" s="15" t="s">
        <v>13</v>
      </c>
      <c r="B322" s="17">
        <v>44987</v>
      </c>
      <c r="C322" s="15">
        <v>2</v>
      </c>
      <c r="D322" s="15" t="s">
        <v>159</v>
      </c>
      <c r="E322" s="15">
        <v>1</v>
      </c>
    </row>
    <row r="323" spans="1:5" x14ac:dyDescent="0.25">
      <c r="A323" s="15" t="s">
        <v>13</v>
      </c>
      <c r="B323" s="17">
        <v>44987</v>
      </c>
      <c r="C323" s="15">
        <v>2</v>
      </c>
      <c r="D323" s="15" t="s">
        <v>102</v>
      </c>
      <c r="E323" s="15">
        <v>2</v>
      </c>
    </row>
    <row r="324" spans="1:5" x14ac:dyDescent="0.25">
      <c r="A324" s="15" t="s">
        <v>13</v>
      </c>
      <c r="B324" s="17">
        <v>44987</v>
      </c>
      <c r="C324" s="15">
        <v>2</v>
      </c>
      <c r="D324" s="15" t="s">
        <v>115</v>
      </c>
      <c r="E324" s="15">
        <v>3</v>
      </c>
    </row>
    <row r="325" spans="1:5" x14ac:dyDescent="0.25">
      <c r="A325" s="15" t="s">
        <v>13</v>
      </c>
      <c r="B325" s="17">
        <v>44987</v>
      </c>
      <c r="C325" s="15">
        <v>2</v>
      </c>
      <c r="D325" s="15" t="s">
        <v>79</v>
      </c>
      <c r="E325" s="15">
        <v>5</v>
      </c>
    </row>
    <row r="326" spans="1:5" x14ac:dyDescent="0.25">
      <c r="A326" s="15" t="s">
        <v>13</v>
      </c>
      <c r="B326" s="17">
        <v>44987</v>
      </c>
      <c r="C326" s="15">
        <v>2</v>
      </c>
      <c r="D326" s="15" t="s">
        <v>105</v>
      </c>
      <c r="E326" s="15">
        <v>2</v>
      </c>
    </row>
    <row r="327" spans="1:5" x14ac:dyDescent="0.25">
      <c r="A327" s="15" t="s">
        <v>13</v>
      </c>
      <c r="B327" s="17">
        <v>44987</v>
      </c>
      <c r="C327" s="15">
        <v>2</v>
      </c>
      <c r="D327" s="15" t="s">
        <v>142</v>
      </c>
      <c r="E327" s="15">
        <v>1</v>
      </c>
    </row>
    <row r="328" spans="1:5" x14ac:dyDescent="0.25">
      <c r="A328" s="15" t="s">
        <v>13</v>
      </c>
      <c r="B328" s="17">
        <v>44987</v>
      </c>
      <c r="C328" s="15">
        <v>2</v>
      </c>
      <c r="D328" s="15" t="s">
        <v>145</v>
      </c>
      <c r="E328" s="15">
        <v>1</v>
      </c>
    </row>
    <row r="329" spans="1:5" x14ac:dyDescent="0.25">
      <c r="A329" s="15" t="s">
        <v>13</v>
      </c>
      <c r="B329" s="17">
        <v>44987</v>
      </c>
      <c r="C329" s="15">
        <v>2</v>
      </c>
      <c r="D329" s="15" t="s">
        <v>136</v>
      </c>
      <c r="E329" s="15">
        <v>3</v>
      </c>
    </row>
    <row r="330" spans="1:5" x14ac:dyDescent="0.25">
      <c r="A330" s="15" t="s">
        <v>13</v>
      </c>
      <c r="B330" s="17">
        <v>44987</v>
      </c>
      <c r="C330" s="15">
        <v>2</v>
      </c>
      <c r="D330" s="15" t="s">
        <v>83</v>
      </c>
      <c r="E330" s="15">
        <v>4</v>
      </c>
    </row>
    <row r="331" spans="1:5" x14ac:dyDescent="0.25">
      <c r="A331" s="15" t="s">
        <v>13</v>
      </c>
      <c r="B331" s="17">
        <v>44987</v>
      </c>
      <c r="C331" s="15">
        <v>2</v>
      </c>
      <c r="D331" s="15" t="s">
        <v>85</v>
      </c>
      <c r="E331" s="15">
        <v>6</v>
      </c>
    </row>
    <row r="332" spans="1:5" x14ac:dyDescent="0.25">
      <c r="A332" s="15" t="s">
        <v>13</v>
      </c>
      <c r="B332" s="17">
        <v>44987</v>
      </c>
      <c r="C332" s="15">
        <v>2</v>
      </c>
      <c r="D332" s="15" t="s">
        <v>108</v>
      </c>
      <c r="E332" s="15">
        <v>12</v>
      </c>
    </row>
    <row r="333" spans="1:5" x14ac:dyDescent="0.25">
      <c r="A333" s="15" t="s">
        <v>13</v>
      </c>
      <c r="B333" s="17">
        <v>44987</v>
      </c>
      <c r="C333" s="15">
        <v>2</v>
      </c>
      <c r="D333" s="15" t="s">
        <v>160</v>
      </c>
      <c r="E333" s="15">
        <v>1</v>
      </c>
    </row>
    <row r="334" spans="1:5" x14ac:dyDescent="0.25">
      <c r="A334" s="15" t="s">
        <v>32</v>
      </c>
      <c r="B334" s="17">
        <v>41989</v>
      </c>
      <c r="C334" s="15">
        <v>2</v>
      </c>
      <c r="D334" s="15" t="s">
        <v>324</v>
      </c>
      <c r="E334" s="15">
        <v>3</v>
      </c>
    </row>
    <row r="335" spans="1:5" x14ac:dyDescent="0.25">
      <c r="A335" s="15" t="s">
        <v>32</v>
      </c>
      <c r="B335" s="17">
        <f t="shared" ref="B335:B367" si="0">B334</f>
        <v>41989</v>
      </c>
      <c r="C335" s="15">
        <v>1</v>
      </c>
      <c r="D335" s="15" t="s">
        <v>74</v>
      </c>
      <c r="E335" s="15">
        <v>11</v>
      </c>
    </row>
    <row r="336" spans="1:5" x14ac:dyDescent="0.25">
      <c r="A336" s="15" t="s">
        <v>32</v>
      </c>
      <c r="B336" s="17">
        <f t="shared" si="0"/>
        <v>41989</v>
      </c>
      <c r="C336" s="15">
        <v>2</v>
      </c>
      <c r="D336" s="15" t="s">
        <v>74</v>
      </c>
      <c r="E336" s="15">
        <v>13</v>
      </c>
    </row>
    <row r="337" spans="1:5" x14ac:dyDescent="0.25">
      <c r="A337" s="15" t="s">
        <v>32</v>
      </c>
      <c r="B337" s="17">
        <f t="shared" si="0"/>
        <v>41989</v>
      </c>
      <c r="C337" s="15">
        <v>2</v>
      </c>
      <c r="D337" s="15" t="s">
        <v>76</v>
      </c>
      <c r="E337" s="15">
        <v>4</v>
      </c>
    </row>
    <row r="338" spans="1:5" x14ac:dyDescent="0.25">
      <c r="A338" s="15" t="s">
        <v>32</v>
      </c>
      <c r="B338" s="17">
        <f t="shared" si="0"/>
        <v>41989</v>
      </c>
      <c r="C338" s="15">
        <v>1</v>
      </c>
      <c r="D338" s="15" t="s">
        <v>325</v>
      </c>
      <c r="E338" s="15">
        <v>3</v>
      </c>
    </row>
    <row r="339" spans="1:5" x14ac:dyDescent="0.25">
      <c r="A339" s="15" t="s">
        <v>32</v>
      </c>
      <c r="B339" s="17">
        <f t="shared" si="0"/>
        <v>41989</v>
      </c>
      <c r="C339" s="15">
        <v>2</v>
      </c>
      <c r="D339" s="15" t="s">
        <v>325</v>
      </c>
      <c r="E339" s="15">
        <v>1</v>
      </c>
    </row>
    <row r="340" spans="1:5" x14ac:dyDescent="0.25">
      <c r="A340" s="15" t="s">
        <v>32</v>
      </c>
      <c r="B340" s="17">
        <f t="shared" si="0"/>
        <v>41989</v>
      </c>
      <c r="C340" s="15">
        <v>1</v>
      </c>
      <c r="D340" s="15" t="s">
        <v>326</v>
      </c>
      <c r="E340" s="15">
        <v>1</v>
      </c>
    </row>
    <row r="341" spans="1:5" x14ac:dyDescent="0.25">
      <c r="A341" s="15" t="s">
        <v>32</v>
      </c>
      <c r="B341" s="17">
        <f t="shared" si="0"/>
        <v>41989</v>
      </c>
      <c r="C341" s="15">
        <v>1</v>
      </c>
      <c r="D341" s="15" t="s">
        <v>327</v>
      </c>
      <c r="E341" s="15">
        <v>3</v>
      </c>
    </row>
    <row r="342" spans="1:5" x14ac:dyDescent="0.25">
      <c r="A342" s="15" t="s">
        <v>32</v>
      </c>
      <c r="B342" s="17">
        <f t="shared" si="0"/>
        <v>41989</v>
      </c>
      <c r="C342" s="15">
        <v>2</v>
      </c>
      <c r="D342" s="15" t="s">
        <v>381</v>
      </c>
      <c r="E342" s="15">
        <v>1</v>
      </c>
    </row>
    <row r="343" spans="1:5" x14ac:dyDescent="0.25">
      <c r="A343" s="15" t="s">
        <v>32</v>
      </c>
      <c r="B343" s="17">
        <f t="shared" si="0"/>
        <v>41989</v>
      </c>
      <c r="C343" s="15">
        <v>1</v>
      </c>
      <c r="D343" s="15" t="s">
        <v>382</v>
      </c>
      <c r="E343" s="15">
        <v>1</v>
      </c>
    </row>
    <row r="344" spans="1:5" x14ac:dyDescent="0.25">
      <c r="A344" s="15" t="s">
        <v>32</v>
      </c>
      <c r="B344" s="17">
        <f t="shared" si="0"/>
        <v>41989</v>
      </c>
      <c r="C344" s="15">
        <v>1</v>
      </c>
      <c r="D344" s="15" t="s">
        <v>82</v>
      </c>
      <c r="E344" s="15">
        <v>1</v>
      </c>
    </row>
    <row r="345" spans="1:5" x14ac:dyDescent="0.25">
      <c r="A345" s="15" t="s">
        <v>32</v>
      </c>
      <c r="B345" s="17">
        <f t="shared" si="0"/>
        <v>41989</v>
      </c>
      <c r="C345" s="15">
        <v>2</v>
      </c>
      <c r="D345" s="15" t="s">
        <v>82</v>
      </c>
      <c r="E345" s="15">
        <v>2</v>
      </c>
    </row>
    <row r="346" spans="1:5" x14ac:dyDescent="0.25">
      <c r="A346" s="15" t="s">
        <v>32</v>
      </c>
      <c r="B346" s="17">
        <f t="shared" si="0"/>
        <v>41989</v>
      </c>
      <c r="C346" s="15">
        <v>1</v>
      </c>
      <c r="D346" s="15" t="s">
        <v>83</v>
      </c>
      <c r="E346" s="15">
        <v>10</v>
      </c>
    </row>
    <row r="347" spans="1:5" x14ac:dyDescent="0.25">
      <c r="A347" s="15" t="s">
        <v>32</v>
      </c>
      <c r="B347" s="17">
        <f t="shared" si="0"/>
        <v>41989</v>
      </c>
      <c r="C347" s="15">
        <v>2</v>
      </c>
      <c r="D347" s="15" t="s">
        <v>83</v>
      </c>
      <c r="E347" s="15">
        <v>12</v>
      </c>
    </row>
    <row r="348" spans="1:5" x14ac:dyDescent="0.25">
      <c r="A348" s="15" t="s">
        <v>32</v>
      </c>
      <c r="B348" s="17">
        <f t="shared" si="0"/>
        <v>41989</v>
      </c>
      <c r="C348" s="15">
        <v>1</v>
      </c>
      <c r="D348" s="15" t="s">
        <v>383</v>
      </c>
      <c r="E348" s="15">
        <v>2</v>
      </c>
    </row>
    <row r="349" spans="1:5" x14ac:dyDescent="0.25">
      <c r="A349" s="15" t="s">
        <v>32</v>
      </c>
      <c r="B349" s="17">
        <f t="shared" si="0"/>
        <v>41989</v>
      </c>
      <c r="C349" s="15">
        <v>2</v>
      </c>
      <c r="D349" s="15" t="s">
        <v>383</v>
      </c>
      <c r="E349" s="15">
        <v>4</v>
      </c>
    </row>
    <row r="350" spans="1:5" x14ac:dyDescent="0.25">
      <c r="A350" s="15" t="s">
        <v>32</v>
      </c>
      <c r="B350" s="17">
        <f t="shared" si="0"/>
        <v>41989</v>
      </c>
      <c r="C350" s="15">
        <v>1</v>
      </c>
      <c r="D350" s="15" t="s">
        <v>328</v>
      </c>
      <c r="E350" s="15">
        <v>1</v>
      </c>
    </row>
    <row r="351" spans="1:5" x14ac:dyDescent="0.25">
      <c r="A351" s="15" t="s">
        <v>32</v>
      </c>
      <c r="B351" s="17">
        <f t="shared" si="0"/>
        <v>41989</v>
      </c>
      <c r="C351" s="15">
        <v>1</v>
      </c>
      <c r="D351" s="15" t="s">
        <v>384</v>
      </c>
      <c r="E351" s="15">
        <v>44</v>
      </c>
    </row>
    <row r="352" spans="1:5" x14ac:dyDescent="0.25">
      <c r="A352" s="15" t="s">
        <v>32</v>
      </c>
      <c r="B352" s="17">
        <f t="shared" si="0"/>
        <v>41989</v>
      </c>
      <c r="C352" s="15">
        <v>2</v>
      </c>
      <c r="D352" s="15" t="s">
        <v>384</v>
      </c>
      <c r="E352" s="15">
        <v>33</v>
      </c>
    </row>
    <row r="353" spans="1:5" x14ac:dyDescent="0.25">
      <c r="A353" s="15" t="s">
        <v>32</v>
      </c>
      <c r="B353" s="17">
        <f t="shared" si="0"/>
        <v>41989</v>
      </c>
      <c r="C353" s="15">
        <v>1</v>
      </c>
      <c r="D353" s="15" t="s">
        <v>385</v>
      </c>
      <c r="E353" s="15">
        <v>1</v>
      </c>
    </row>
    <row r="354" spans="1:5" x14ac:dyDescent="0.25">
      <c r="A354" s="15" t="s">
        <v>32</v>
      </c>
      <c r="B354" s="17">
        <f t="shared" si="0"/>
        <v>41989</v>
      </c>
      <c r="C354" s="15">
        <v>2</v>
      </c>
      <c r="D354" s="15" t="s">
        <v>386</v>
      </c>
      <c r="E354" s="15">
        <v>1</v>
      </c>
    </row>
    <row r="355" spans="1:5" x14ac:dyDescent="0.25">
      <c r="A355" s="15" t="s">
        <v>32</v>
      </c>
      <c r="B355" s="17">
        <f t="shared" si="0"/>
        <v>41989</v>
      </c>
      <c r="C355" s="15">
        <v>1</v>
      </c>
      <c r="D355" s="15" t="s">
        <v>329</v>
      </c>
      <c r="E355" s="15">
        <v>6</v>
      </c>
    </row>
    <row r="356" spans="1:5" x14ac:dyDescent="0.25">
      <c r="A356" s="15" t="s">
        <v>32</v>
      </c>
      <c r="B356" s="17">
        <f t="shared" si="0"/>
        <v>41989</v>
      </c>
      <c r="C356" s="15">
        <v>2</v>
      </c>
      <c r="D356" s="15" t="s">
        <v>329</v>
      </c>
      <c r="E356" s="15">
        <v>6</v>
      </c>
    </row>
    <row r="357" spans="1:5" x14ac:dyDescent="0.25">
      <c r="A357" s="15" t="s">
        <v>32</v>
      </c>
      <c r="B357" s="17">
        <f t="shared" si="0"/>
        <v>41989</v>
      </c>
      <c r="C357" s="15">
        <v>1</v>
      </c>
      <c r="D357" s="15" t="s">
        <v>387</v>
      </c>
      <c r="E357" s="15">
        <v>2</v>
      </c>
    </row>
    <row r="358" spans="1:5" x14ac:dyDescent="0.25">
      <c r="A358" s="15" t="s">
        <v>32</v>
      </c>
      <c r="B358" s="17">
        <f t="shared" si="0"/>
        <v>41989</v>
      </c>
      <c r="C358" s="15">
        <v>2</v>
      </c>
      <c r="D358" s="15" t="s">
        <v>388</v>
      </c>
      <c r="E358" s="15">
        <v>1</v>
      </c>
    </row>
    <row r="359" spans="1:5" x14ac:dyDescent="0.25">
      <c r="A359" s="15" t="s">
        <v>32</v>
      </c>
      <c r="B359" s="17">
        <f t="shared" si="0"/>
        <v>41989</v>
      </c>
      <c r="C359" s="15">
        <v>1</v>
      </c>
      <c r="D359" s="15" t="s">
        <v>330</v>
      </c>
      <c r="E359" s="15">
        <v>1</v>
      </c>
    </row>
    <row r="360" spans="1:5" x14ac:dyDescent="0.25">
      <c r="A360" s="15" t="s">
        <v>32</v>
      </c>
      <c r="B360" s="17">
        <f t="shared" si="0"/>
        <v>41989</v>
      </c>
      <c r="C360" s="15">
        <v>1</v>
      </c>
      <c r="D360" s="15" t="s">
        <v>331</v>
      </c>
      <c r="E360" s="15">
        <v>2</v>
      </c>
    </row>
    <row r="361" spans="1:5" x14ac:dyDescent="0.25">
      <c r="A361" s="15" t="s">
        <v>32</v>
      </c>
      <c r="B361" s="17">
        <f t="shared" si="0"/>
        <v>41989</v>
      </c>
      <c r="C361" s="15">
        <v>2</v>
      </c>
      <c r="D361" s="15" t="s">
        <v>332</v>
      </c>
      <c r="E361" s="15">
        <v>1</v>
      </c>
    </row>
    <row r="362" spans="1:5" x14ac:dyDescent="0.25">
      <c r="A362" s="15" t="s">
        <v>32</v>
      </c>
      <c r="B362" s="17">
        <f t="shared" si="0"/>
        <v>41989</v>
      </c>
      <c r="C362" s="15">
        <v>1</v>
      </c>
      <c r="D362" s="15" t="s">
        <v>66</v>
      </c>
      <c r="E362" s="15">
        <v>2</v>
      </c>
    </row>
    <row r="363" spans="1:5" x14ac:dyDescent="0.25">
      <c r="A363" s="15" t="s">
        <v>32</v>
      </c>
      <c r="B363" s="17">
        <f t="shared" si="0"/>
        <v>41989</v>
      </c>
      <c r="C363" s="15">
        <v>2</v>
      </c>
      <c r="D363" s="15" t="s">
        <v>66</v>
      </c>
      <c r="E363" s="15">
        <v>2</v>
      </c>
    </row>
    <row r="364" spans="1:5" x14ac:dyDescent="0.25">
      <c r="A364" s="15" t="s">
        <v>32</v>
      </c>
      <c r="B364" s="17">
        <f t="shared" si="0"/>
        <v>41989</v>
      </c>
      <c r="C364" s="15">
        <v>1</v>
      </c>
      <c r="D364" s="15" t="s">
        <v>333</v>
      </c>
      <c r="E364" s="15">
        <v>53</v>
      </c>
    </row>
    <row r="365" spans="1:5" x14ac:dyDescent="0.25">
      <c r="A365" s="15" t="s">
        <v>32</v>
      </c>
      <c r="B365" s="17">
        <f t="shared" si="0"/>
        <v>41989</v>
      </c>
      <c r="C365" s="15">
        <v>2</v>
      </c>
      <c r="D365" s="15" t="s">
        <v>333</v>
      </c>
      <c r="E365" s="15">
        <v>57</v>
      </c>
    </row>
    <row r="366" spans="1:5" x14ac:dyDescent="0.25">
      <c r="A366" s="15" t="s">
        <v>32</v>
      </c>
      <c r="B366" s="17">
        <f t="shared" si="0"/>
        <v>41989</v>
      </c>
      <c r="C366" s="15">
        <v>2</v>
      </c>
      <c r="D366" s="15" t="s">
        <v>334</v>
      </c>
      <c r="E366" s="15">
        <v>1</v>
      </c>
    </row>
    <row r="367" spans="1:5" x14ac:dyDescent="0.25">
      <c r="A367" s="15" t="s">
        <v>32</v>
      </c>
      <c r="B367" s="17">
        <f t="shared" si="0"/>
        <v>41989</v>
      </c>
      <c r="C367" s="15">
        <v>2</v>
      </c>
      <c r="D367" s="15" t="s">
        <v>335</v>
      </c>
      <c r="E367" s="15">
        <v>1</v>
      </c>
    </row>
    <row r="368" spans="1:5" x14ac:dyDescent="0.25">
      <c r="A368" s="15" t="s">
        <v>32</v>
      </c>
      <c r="B368" s="17">
        <v>41746</v>
      </c>
      <c r="C368" s="15">
        <v>1</v>
      </c>
      <c r="D368" s="15" t="s">
        <v>74</v>
      </c>
      <c r="E368" s="15">
        <v>20</v>
      </c>
    </row>
    <row r="369" spans="1:5" x14ac:dyDescent="0.25">
      <c r="A369" s="15" t="s">
        <v>32</v>
      </c>
      <c r="B369" s="17">
        <f t="shared" ref="B369:B416" si="1">B368</f>
        <v>41746</v>
      </c>
      <c r="C369" s="15">
        <v>2</v>
      </c>
      <c r="D369" s="15" t="s">
        <v>74</v>
      </c>
      <c r="E369" s="15">
        <v>27</v>
      </c>
    </row>
    <row r="370" spans="1:5" x14ac:dyDescent="0.25">
      <c r="A370" s="15" t="s">
        <v>32</v>
      </c>
      <c r="B370" s="17">
        <f t="shared" si="1"/>
        <v>41746</v>
      </c>
      <c r="C370" s="15">
        <v>1</v>
      </c>
      <c r="D370" s="15" t="s">
        <v>336</v>
      </c>
      <c r="E370" s="15">
        <v>1</v>
      </c>
    </row>
    <row r="371" spans="1:5" x14ac:dyDescent="0.25">
      <c r="A371" s="15" t="s">
        <v>32</v>
      </c>
      <c r="B371" s="17">
        <f t="shared" si="1"/>
        <v>41746</v>
      </c>
      <c r="C371" s="15">
        <v>2</v>
      </c>
      <c r="D371" s="15" t="s">
        <v>336</v>
      </c>
      <c r="E371" s="15">
        <v>1</v>
      </c>
    </row>
    <row r="372" spans="1:5" x14ac:dyDescent="0.25">
      <c r="A372" s="15" t="s">
        <v>32</v>
      </c>
      <c r="B372" s="17">
        <f t="shared" si="1"/>
        <v>41746</v>
      </c>
      <c r="C372" s="15">
        <v>1</v>
      </c>
      <c r="D372" s="15" t="s">
        <v>337</v>
      </c>
      <c r="E372" s="15">
        <v>1</v>
      </c>
    </row>
    <row r="373" spans="1:5" x14ac:dyDescent="0.25">
      <c r="A373" s="15" t="s">
        <v>32</v>
      </c>
      <c r="B373" s="17">
        <f t="shared" si="1"/>
        <v>41746</v>
      </c>
      <c r="C373" s="15">
        <v>1</v>
      </c>
      <c r="D373" s="15" t="s">
        <v>325</v>
      </c>
      <c r="E373" s="15">
        <v>3</v>
      </c>
    </row>
    <row r="374" spans="1:5" x14ac:dyDescent="0.25">
      <c r="A374" s="15" t="s">
        <v>32</v>
      </c>
      <c r="B374" s="17">
        <f t="shared" si="1"/>
        <v>41746</v>
      </c>
      <c r="C374" s="15">
        <v>2</v>
      </c>
      <c r="D374" s="15" t="s">
        <v>325</v>
      </c>
      <c r="E374" s="15">
        <v>11</v>
      </c>
    </row>
    <row r="375" spans="1:5" x14ac:dyDescent="0.25">
      <c r="A375" s="15" t="s">
        <v>32</v>
      </c>
      <c r="B375" s="17">
        <f t="shared" si="1"/>
        <v>41746</v>
      </c>
      <c r="C375" s="15">
        <v>2</v>
      </c>
      <c r="D375" s="15" t="s">
        <v>338</v>
      </c>
      <c r="E375" s="15">
        <v>1</v>
      </c>
    </row>
    <row r="376" spans="1:5" x14ac:dyDescent="0.25">
      <c r="A376" s="15" t="s">
        <v>32</v>
      </c>
      <c r="B376" s="17">
        <f t="shared" si="1"/>
        <v>41746</v>
      </c>
      <c r="C376" s="15">
        <v>1</v>
      </c>
      <c r="D376" s="15" t="s">
        <v>81</v>
      </c>
      <c r="E376" s="15">
        <v>1</v>
      </c>
    </row>
    <row r="377" spans="1:5" x14ac:dyDescent="0.25">
      <c r="A377" s="15" t="s">
        <v>32</v>
      </c>
      <c r="B377" s="17">
        <f t="shared" si="1"/>
        <v>41746</v>
      </c>
      <c r="C377" s="15">
        <v>1</v>
      </c>
      <c r="D377" s="15" t="s">
        <v>327</v>
      </c>
      <c r="E377" s="15">
        <v>1</v>
      </c>
    </row>
    <row r="378" spans="1:5" x14ac:dyDescent="0.25">
      <c r="A378" s="15" t="s">
        <v>32</v>
      </c>
      <c r="B378" s="17">
        <f t="shared" si="1"/>
        <v>41746</v>
      </c>
      <c r="C378" s="15">
        <v>2</v>
      </c>
      <c r="D378" s="15" t="s">
        <v>327</v>
      </c>
      <c r="E378" s="15">
        <v>1</v>
      </c>
    </row>
    <row r="379" spans="1:5" x14ac:dyDescent="0.25">
      <c r="A379" s="15" t="s">
        <v>32</v>
      </c>
      <c r="B379" s="17">
        <f t="shared" si="1"/>
        <v>41746</v>
      </c>
      <c r="C379" s="15">
        <v>2</v>
      </c>
      <c r="D379" s="15" t="s">
        <v>339</v>
      </c>
      <c r="E379" s="15">
        <v>1</v>
      </c>
    </row>
    <row r="380" spans="1:5" x14ac:dyDescent="0.25">
      <c r="A380" s="15" t="s">
        <v>32</v>
      </c>
      <c r="B380" s="17">
        <f t="shared" si="1"/>
        <v>41746</v>
      </c>
      <c r="C380" s="15">
        <v>1</v>
      </c>
      <c r="D380" s="15" t="s">
        <v>389</v>
      </c>
      <c r="E380" s="15">
        <v>1</v>
      </c>
    </row>
    <row r="381" spans="1:5" x14ac:dyDescent="0.25">
      <c r="A381" s="15" t="s">
        <v>32</v>
      </c>
      <c r="B381" s="17">
        <f t="shared" si="1"/>
        <v>41746</v>
      </c>
      <c r="C381" s="15">
        <v>2</v>
      </c>
      <c r="D381" s="15" t="s">
        <v>389</v>
      </c>
      <c r="E381" s="15">
        <v>1</v>
      </c>
    </row>
    <row r="382" spans="1:5" x14ac:dyDescent="0.25">
      <c r="A382" s="15" t="s">
        <v>32</v>
      </c>
      <c r="B382" s="17">
        <f t="shared" si="1"/>
        <v>41746</v>
      </c>
      <c r="C382" s="15">
        <v>1</v>
      </c>
      <c r="D382" s="15" t="s">
        <v>340</v>
      </c>
      <c r="E382" s="15">
        <v>4</v>
      </c>
    </row>
    <row r="383" spans="1:5" x14ac:dyDescent="0.25">
      <c r="A383" s="15" t="s">
        <v>32</v>
      </c>
      <c r="B383" s="17">
        <f t="shared" si="1"/>
        <v>41746</v>
      </c>
      <c r="C383" s="15">
        <v>2</v>
      </c>
      <c r="D383" s="15" t="s">
        <v>382</v>
      </c>
      <c r="E383" s="15">
        <v>1</v>
      </c>
    </row>
    <row r="384" spans="1:5" x14ac:dyDescent="0.25">
      <c r="A384" s="15" t="s">
        <v>32</v>
      </c>
      <c r="B384" s="17">
        <f t="shared" si="1"/>
        <v>41746</v>
      </c>
      <c r="C384" s="15">
        <v>1</v>
      </c>
      <c r="D384" s="15" t="s">
        <v>82</v>
      </c>
      <c r="E384" s="15">
        <v>13</v>
      </c>
    </row>
    <row r="385" spans="1:5" x14ac:dyDescent="0.25">
      <c r="A385" s="15" t="s">
        <v>32</v>
      </c>
      <c r="B385" s="17">
        <f t="shared" si="1"/>
        <v>41746</v>
      </c>
      <c r="C385" s="15">
        <v>2</v>
      </c>
      <c r="D385" s="15" t="s">
        <v>82</v>
      </c>
      <c r="E385" s="15">
        <v>7</v>
      </c>
    </row>
    <row r="386" spans="1:5" x14ac:dyDescent="0.25">
      <c r="A386" s="15" t="s">
        <v>32</v>
      </c>
      <c r="B386" s="17">
        <f t="shared" si="1"/>
        <v>41746</v>
      </c>
      <c r="C386" s="15">
        <v>1</v>
      </c>
      <c r="D386" s="15" t="s">
        <v>83</v>
      </c>
      <c r="E386" s="15">
        <v>23</v>
      </c>
    </row>
    <row r="387" spans="1:5" x14ac:dyDescent="0.25">
      <c r="A387" s="15" t="s">
        <v>32</v>
      </c>
      <c r="B387" s="17">
        <f t="shared" si="1"/>
        <v>41746</v>
      </c>
      <c r="C387" s="15">
        <v>2</v>
      </c>
      <c r="D387" s="15" t="s">
        <v>83</v>
      </c>
      <c r="E387" s="15">
        <v>24</v>
      </c>
    </row>
    <row r="388" spans="1:5" x14ac:dyDescent="0.25">
      <c r="A388" s="15" t="s">
        <v>32</v>
      </c>
      <c r="B388" s="17">
        <f t="shared" si="1"/>
        <v>41746</v>
      </c>
      <c r="C388" s="15">
        <v>1</v>
      </c>
      <c r="D388" s="15" t="s">
        <v>341</v>
      </c>
      <c r="E388" s="15">
        <v>1</v>
      </c>
    </row>
    <row r="389" spans="1:5" x14ac:dyDescent="0.25">
      <c r="A389" s="15" t="s">
        <v>32</v>
      </c>
      <c r="B389" s="17">
        <f t="shared" si="1"/>
        <v>41746</v>
      </c>
      <c r="C389" s="15">
        <v>1</v>
      </c>
      <c r="D389" s="15" t="s">
        <v>390</v>
      </c>
      <c r="E389" s="15">
        <v>13</v>
      </c>
    </row>
    <row r="390" spans="1:5" x14ac:dyDescent="0.25">
      <c r="A390" s="15" t="s">
        <v>32</v>
      </c>
      <c r="B390" s="17">
        <f t="shared" si="1"/>
        <v>41746</v>
      </c>
      <c r="C390" s="15">
        <v>2</v>
      </c>
      <c r="D390" s="15" t="s">
        <v>390</v>
      </c>
      <c r="E390" s="15">
        <v>5</v>
      </c>
    </row>
    <row r="391" spans="1:5" x14ac:dyDescent="0.25">
      <c r="A391" s="15" t="s">
        <v>32</v>
      </c>
      <c r="B391" s="17">
        <f t="shared" si="1"/>
        <v>41746</v>
      </c>
      <c r="C391" s="15">
        <v>1</v>
      </c>
      <c r="D391" s="15" t="s">
        <v>391</v>
      </c>
      <c r="E391" s="15">
        <v>1</v>
      </c>
    </row>
    <row r="392" spans="1:5" x14ac:dyDescent="0.25">
      <c r="A392" s="15" t="s">
        <v>32</v>
      </c>
      <c r="B392" s="17">
        <f t="shared" si="1"/>
        <v>41746</v>
      </c>
      <c r="C392" s="15">
        <v>1</v>
      </c>
      <c r="D392" s="15" t="s">
        <v>342</v>
      </c>
      <c r="E392" s="15">
        <v>3</v>
      </c>
    </row>
    <row r="393" spans="1:5" x14ac:dyDescent="0.25">
      <c r="A393" s="15" t="s">
        <v>32</v>
      </c>
      <c r="B393" s="17">
        <f t="shared" si="1"/>
        <v>41746</v>
      </c>
      <c r="C393" s="15">
        <v>2</v>
      </c>
      <c r="D393" s="15" t="s">
        <v>342</v>
      </c>
      <c r="E393" s="15">
        <v>4</v>
      </c>
    </row>
    <row r="394" spans="1:5" x14ac:dyDescent="0.25">
      <c r="A394" s="15" t="s">
        <v>32</v>
      </c>
      <c r="B394" s="17">
        <f t="shared" si="1"/>
        <v>41746</v>
      </c>
      <c r="C394" s="15">
        <v>1</v>
      </c>
      <c r="D394" s="15" t="s">
        <v>384</v>
      </c>
      <c r="E394" s="15">
        <v>29</v>
      </c>
    </row>
    <row r="395" spans="1:5" x14ac:dyDescent="0.25">
      <c r="A395" s="15" t="s">
        <v>32</v>
      </c>
      <c r="B395" s="17">
        <f t="shared" si="1"/>
        <v>41746</v>
      </c>
      <c r="C395" s="15">
        <v>2</v>
      </c>
      <c r="D395" s="15" t="s">
        <v>384</v>
      </c>
      <c r="E395" s="15">
        <v>38</v>
      </c>
    </row>
    <row r="396" spans="1:5" x14ac:dyDescent="0.25">
      <c r="A396" s="15" t="s">
        <v>32</v>
      </c>
      <c r="B396" s="17">
        <f t="shared" si="1"/>
        <v>41746</v>
      </c>
      <c r="C396" s="15">
        <v>1</v>
      </c>
      <c r="D396" s="15" t="s">
        <v>386</v>
      </c>
      <c r="E396" s="15">
        <v>6</v>
      </c>
    </row>
    <row r="397" spans="1:5" x14ac:dyDescent="0.25">
      <c r="A397" s="15" t="s">
        <v>32</v>
      </c>
      <c r="B397" s="17">
        <f t="shared" si="1"/>
        <v>41746</v>
      </c>
      <c r="C397" s="15">
        <v>2</v>
      </c>
      <c r="D397" s="15" t="s">
        <v>386</v>
      </c>
      <c r="E397" s="15">
        <v>2</v>
      </c>
    </row>
    <row r="398" spans="1:5" x14ac:dyDescent="0.25">
      <c r="A398" s="15" t="s">
        <v>32</v>
      </c>
      <c r="B398" s="17">
        <f t="shared" si="1"/>
        <v>41746</v>
      </c>
      <c r="C398" s="15">
        <v>1</v>
      </c>
      <c r="D398" s="15" t="s">
        <v>329</v>
      </c>
      <c r="E398" s="15">
        <v>3</v>
      </c>
    </row>
    <row r="399" spans="1:5" x14ac:dyDescent="0.25">
      <c r="A399" s="15" t="s">
        <v>32</v>
      </c>
      <c r="B399" s="17">
        <f t="shared" si="1"/>
        <v>41746</v>
      </c>
      <c r="C399" s="15">
        <v>2</v>
      </c>
      <c r="D399" s="15" t="s">
        <v>329</v>
      </c>
      <c r="E399" s="15">
        <v>1</v>
      </c>
    </row>
    <row r="400" spans="1:5" x14ac:dyDescent="0.25">
      <c r="A400" s="15" t="s">
        <v>32</v>
      </c>
      <c r="B400" s="17">
        <f t="shared" si="1"/>
        <v>41746</v>
      </c>
      <c r="C400" s="15">
        <v>1</v>
      </c>
      <c r="D400" s="15" t="s">
        <v>392</v>
      </c>
      <c r="E400" s="15">
        <v>2</v>
      </c>
    </row>
    <row r="401" spans="1:5" x14ac:dyDescent="0.25">
      <c r="A401" s="15" t="s">
        <v>32</v>
      </c>
      <c r="B401" s="17">
        <f t="shared" si="1"/>
        <v>41746</v>
      </c>
      <c r="C401" s="15">
        <v>2</v>
      </c>
      <c r="D401" s="15" t="s">
        <v>392</v>
      </c>
      <c r="E401" s="15">
        <v>2</v>
      </c>
    </row>
    <row r="402" spans="1:5" x14ac:dyDescent="0.25">
      <c r="A402" s="15" t="s">
        <v>32</v>
      </c>
      <c r="B402" s="17">
        <f t="shared" si="1"/>
        <v>41746</v>
      </c>
      <c r="C402" s="15">
        <v>1</v>
      </c>
      <c r="D402" s="15" t="s">
        <v>343</v>
      </c>
      <c r="E402" s="15">
        <v>7</v>
      </c>
    </row>
    <row r="403" spans="1:5" x14ac:dyDescent="0.25">
      <c r="A403" s="15" t="s">
        <v>32</v>
      </c>
      <c r="B403" s="17">
        <f t="shared" si="1"/>
        <v>41746</v>
      </c>
      <c r="C403" s="15">
        <v>2</v>
      </c>
      <c r="D403" s="15" t="s">
        <v>343</v>
      </c>
      <c r="E403" s="15">
        <v>8</v>
      </c>
    </row>
    <row r="404" spans="1:5" x14ac:dyDescent="0.25">
      <c r="A404" s="15" t="s">
        <v>32</v>
      </c>
      <c r="B404" s="17">
        <f t="shared" si="1"/>
        <v>41746</v>
      </c>
      <c r="C404" s="15">
        <v>1</v>
      </c>
      <c r="D404" s="15" t="s">
        <v>393</v>
      </c>
      <c r="E404" s="15">
        <v>1</v>
      </c>
    </row>
    <row r="405" spans="1:5" x14ac:dyDescent="0.25">
      <c r="A405" s="15" t="s">
        <v>32</v>
      </c>
      <c r="B405" s="17">
        <f t="shared" si="1"/>
        <v>41746</v>
      </c>
      <c r="C405" s="15">
        <v>2</v>
      </c>
      <c r="D405" s="15" t="s">
        <v>394</v>
      </c>
      <c r="E405" s="15">
        <v>1</v>
      </c>
    </row>
    <row r="406" spans="1:5" x14ac:dyDescent="0.25">
      <c r="A406" s="15" t="s">
        <v>32</v>
      </c>
      <c r="B406" s="17">
        <f t="shared" si="1"/>
        <v>41746</v>
      </c>
      <c r="C406" s="15">
        <v>1</v>
      </c>
      <c r="D406" s="15" t="s">
        <v>332</v>
      </c>
      <c r="E406" s="15">
        <v>5</v>
      </c>
    </row>
    <row r="407" spans="1:5" x14ac:dyDescent="0.25">
      <c r="A407" s="15" t="s">
        <v>32</v>
      </c>
      <c r="B407" s="17">
        <f t="shared" si="1"/>
        <v>41746</v>
      </c>
      <c r="C407" s="15">
        <v>2</v>
      </c>
      <c r="D407" s="15" t="s">
        <v>332</v>
      </c>
      <c r="E407" s="15">
        <v>4</v>
      </c>
    </row>
    <row r="408" spans="1:5" x14ac:dyDescent="0.25">
      <c r="A408" s="15" t="s">
        <v>32</v>
      </c>
      <c r="B408" s="17">
        <f t="shared" si="1"/>
        <v>41746</v>
      </c>
      <c r="C408" s="15">
        <v>1</v>
      </c>
      <c r="D408" s="15" t="s">
        <v>333</v>
      </c>
      <c r="E408" s="15">
        <v>6</v>
      </c>
    </row>
    <row r="409" spans="1:5" x14ac:dyDescent="0.25">
      <c r="A409" s="15" t="s">
        <v>32</v>
      </c>
      <c r="B409" s="17">
        <f t="shared" si="1"/>
        <v>41746</v>
      </c>
      <c r="C409" s="15">
        <v>2</v>
      </c>
      <c r="D409" s="15" t="s">
        <v>333</v>
      </c>
      <c r="E409" s="15">
        <v>6</v>
      </c>
    </row>
    <row r="410" spans="1:5" x14ac:dyDescent="0.25">
      <c r="A410" s="15" t="s">
        <v>32</v>
      </c>
      <c r="B410" s="17">
        <f t="shared" si="1"/>
        <v>41746</v>
      </c>
      <c r="C410" s="15">
        <v>1</v>
      </c>
      <c r="D410" s="15" t="s">
        <v>344</v>
      </c>
      <c r="E410" s="15">
        <v>1</v>
      </c>
    </row>
    <row r="411" spans="1:5" x14ac:dyDescent="0.25">
      <c r="A411" s="15" t="s">
        <v>32</v>
      </c>
      <c r="B411" s="17">
        <f t="shared" si="1"/>
        <v>41746</v>
      </c>
      <c r="C411" s="15">
        <v>2</v>
      </c>
      <c r="D411" s="15" t="s">
        <v>344</v>
      </c>
      <c r="E411" s="15">
        <v>1</v>
      </c>
    </row>
    <row r="412" spans="1:5" x14ac:dyDescent="0.25">
      <c r="A412" s="15" t="s">
        <v>32</v>
      </c>
      <c r="B412" s="17">
        <f t="shared" si="1"/>
        <v>41746</v>
      </c>
      <c r="C412" s="15">
        <v>2</v>
      </c>
      <c r="D412" s="15" t="s">
        <v>345</v>
      </c>
      <c r="E412" s="15">
        <v>1</v>
      </c>
    </row>
    <row r="413" spans="1:5" x14ac:dyDescent="0.25">
      <c r="A413" s="15" t="s">
        <v>32</v>
      </c>
      <c r="B413" s="17">
        <f t="shared" si="1"/>
        <v>41746</v>
      </c>
      <c r="C413" s="15">
        <v>2</v>
      </c>
      <c r="D413" s="15" t="s">
        <v>346</v>
      </c>
      <c r="E413" s="15">
        <v>1</v>
      </c>
    </row>
    <row r="414" spans="1:5" x14ac:dyDescent="0.25">
      <c r="A414" s="15" t="s">
        <v>32</v>
      </c>
      <c r="B414" s="17">
        <f t="shared" si="1"/>
        <v>41746</v>
      </c>
      <c r="C414" s="15">
        <v>1</v>
      </c>
      <c r="D414" s="15" t="s">
        <v>347</v>
      </c>
      <c r="E414" s="15">
        <v>2</v>
      </c>
    </row>
    <row r="415" spans="1:5" x14ac:dyDescent="0.25">
      <c r="A415" s="15" t="s">
        <v>32</v>
      </c>
      <c r="B415" s="17">
        <f t="shared" si="1"/>
        <v>41746</v>
      </c>
      <c r="C415" s="15">
        <v>1</v>
      </c>
      <c r="D415" s="15" t="s">
        <v>348</v>
      </c>
      <c r="E415" s="15">
        <v>1</v>
      </c>
    </row>
    <row r="416" spans="1:5" x14ac:dyDescent="0.25">
      <c r="A416" s="15" t="s">
        <v>32</v>
      </c>
      <c r="B416" s="17">
        <f t="shared" si="1"/>
        <v>41746</v>
      </c>
      <c r="C416" s="15">
        <v>2</v>
      </c>
      <c r="D416" s="15" t="s">
        <v>348</v>
      </c>
      <c r="E416" s="15">
        <v>2</v>
      </c>
    </row>
    <row r="417" spans="1:5" x14ac:dyDescent="0.25">
      <c r="A417" s="15" t="s">
        <v>36</v>
      </c>
      <c r="B417" s="17">
        <v>41757</v>
      </c>
      <c r="C417" s="15">
        <v>1</v>
      </c>
      <c r="D417" s="15" t="s">
        <v>76</v>
      </c>
      <c r="E417" s="15">
        <v>5</v>
      </c>
    </row>
    <row r="418" spans="1:5" x14ac:dyDescent="0.25">
      <c r="A418" s="15" t="s">
        <v>36</v>
      </c>
      <c r="B418" s="17">
        <f t="shared" ref="B418:B465" si="2">B417</f>
        <v>41757</v>
      </c>
      <c r="C418" s="15">
        <v>2</v>
      </c>
      <c r="D418" s="15" t="s">
        <v>76</v>
      </c>
      <c r="E418" s="15">
        <v>8</v>
      </c>
    </row>
    <row r="419" spans="1:5" x14ac:dyDescent="0.25">
      <c r="A419" s="15" t="s">
        <v>36</v>
      </c>
      <c r="B419" s="17">
        <f t="shared" si="2"/>
        <v>41757</v>
      </c>
      <c r="C419" s="15">
        <v>1</v>
      </c>
      <c r="D419" s="15" t="s">
        <v>325</v>
      </c>
      <c r="E419" s="15">
        <v>1</v>
      </c>
    </row>
    <row r="420" spans="1:5" x14ac:dyDescent="0.25">
      <c r="A420" s="15" t="s">
        <v>36</v>
      </c>
      <c r="B420" s="17">
        <f t="shared" si="2"/>
        <v>41757</v>
      </c>
      <c r="C420" s="15">
        <v>1</v>
      </c>
      <c r="D420" s="15" t="s">
        <v>349</v>
      </c>
      <c r="E420" s="15">
        <v>3</v>
      </c>
    </row>
    <row r="421" spans="1:5" x14ac:dyDescent="0.25">
      <c r="A421" s="15" t="s">
        <v>36</v>
      </c>
      <c r="B421" s="17">
        <f t="shared" si="2"/>
        <v>41757</v>
      </c>
      <c r="C421" s="15">
        <v>2</v>
      </c>
      <c r="D421" s="15" t="s">
        <v>349</v>
      </c>
      <c r="E421" s="15">
        <v>2</v>
      </c>
    </row>
    <row r="422" spans="1:5" x14ac:dyDescent="0.25">
      <c r="A422" s="15" t="s">
        <v>36</v>
      </c>
      <c r="B422" s="17">
        <f t="shared" si="2"/>
        <v>41757</v>
      </c>
      <c r="C422" s="15">
        <v>2</v>
      </c>
      <c r="D422" s="15" t="s">
        <v>350</v>
      </c>
      <c r="E422" s="15">
        <v>1</v>
      </c>
    </row>
    <row r="423" spans="1:5" x14ac:dyDescent="0.25">
      <c r="A423" s="15" t="s">
        <v>36</v>
      </c>
      <c r="B423" s="17">
        <f t="shared" si="2"/>
        <v>41757</v>
      </c>
      <c r="C423" s="15">
        <v>1</v>
      </c>
      <c r="D423" s="15" t="s">
        <v>395</v>
      </c>
      <c r="E423" s="15">
        <v>3</v>
      </c>
    </row>
    <row r="424" spans="1:5" x14ac:dyDescent="0.25">
      <c r="A424" s="15" t="s">
        <v>36</v>
      </c>
      <c r="B424" s="17">
        <f t="shared" si="2"/>
        <v>41757</v>
      </c>
      <c r="C424" s="15">
        <v>1</v>
      </c>
      <c r="D424" s="15" t="s">
        <v>82</v>
      </c>
      <c r="E424" s="15">
        <v>2</v>
      </c>
    </row>
    <row r="425" spans="1:5" x14ac:dyDescent="0.25">
      <c r="A425" s="15" t="s">
        <v>36</v>
      </c>
      <c r="B425" s="17">
        <f t="shared" si="2"/>
        <v>41757</v>
      </c>
      <c r="C425" s="15">
        <v>2</v>
      </c>
      <c r="D425" s="15" t="s">
        <v>82</v>
      </c>
      <c r="E425" s="15">
        <v>5</v>
      </c>
    </row>
    <row r="426" spans="1:5" x14ac:dyDescent="0.25">
      <c r="A426" s="15" t="s">
        <v>36</v>
      </c>
      <c r="B426" s="17">
        <f t="shared" si="2"/>
        <v>41757</v>
      </c>
      <c r="C426" s="15">
        <v>2</v>
      </c>
      <c r="D426" s="15" t="s">
        <v>83</v>
      </c>
      <c r="E426" s="15">
        <v>2</v>
      </c>
    </row>
    <row r="427" spans="1:5" x14ac:dyDescent="0.25">
      <c r="A427" s="15" t="s">
        <v>36</v>
      </c>
      <c r="B427" s="17">
        <f t="shared" si="2"/>
        <v>41757</v>
      </c>
      <c r="C427" s="15">
        <v>2</v>
      </c>
      <c r="D427" s="15" t="s">
        <v>396</v>
      </c>
      <c r="E427" s="15">
        <v>1</v>
      </c>
    </row>
    <row r="428" spans="1:5" x14ac:dyDescent="0.25">
      <c r="A428" s="15" t="s">
        <v>36</v>
      </c>
      <c r="B428" s="17">
        <f t="shared" si="2"/>
        <v>41757</v>
      </c>
      <c r="C428" s="15">
        <v>1</v>
      </c>
      <c r="D428" s="15" t="s">
        <v>397</v>
      </c>
      <c r="E428" s="15">
        <v>4</v>
      </c>
    </row>
    <row r="429" spans="1:5" x14ac:dyDescent="0.25">
      <c r="A429" s="15" t="s">
        <v>36</v>
      </c>
      <c r="B429" s="17">
        <f t="shared" si="2"/>
        <v>41757</v>
      </c>
      <c r="C429" s="15">
        <v>2</v>
      </c>
      <c r="D429" s="15" t="s">
        <v>384</v>
      </c>
      <c r="E429" s="15">
        <v>9</v>
      </c>
    </row>
    <row r="430" spans="1:5" x14ac:dyDescent="0.25">
      <c r="A430" s="15" t="s">
        <v>36</v>
      </c>
      <c r="B430" s="17">
        <f t="shared" si="2"/>
        <v>41757</v>
      </c>
      <c r="C430" s="15">
        <v>2</v>
      </c>
      <c r="D430" s="15" t="s">
        <v>386</v>
      </c>
      <c r="E430" s="15">
        <v>1</v>
      </c>
    </row>
    <row r="431" spans="1:5" x14ac:dyDescent="0.25">
      <c r="A431" s="15" t="s">
        <v>36</v>
      </c>
      <c r="B431" s="17">
        <f t="shared" si="2"/>
        <v>41757</v>
      </c>
      <c r="C431" s="15">
        <v>1</v>
      </c>
      <c r="D431" s="15" t="s">
        <v>329</v>
      </c>
      <c r="E431" s="15">
        <v>40</v>
      </c>
    </row>
    <row r="432" spans="1:5" x14ac:dyDescent="0.25">
      <c r="A432" s="15" t="s">
        <v>36</v>
      </c>
      <c r="B432" s="17">
        <f t="shared" si="2"/>
        <v>41757</v>
      </c>
      <c r="C432" s="15">
        <v>2</v>
      </c>
      <c r="D432" s="15" t="s">
        <v>329</v>
      </c>
      <c r="E432" s="15">
        <v>42</v>
      </c>
    </row>
    <row r="433" spans="1:5" x14ac:dyDescent="0.25">
      <c r="A433" s="15" t="s">
        <v>36</v>
      </c>
      <c r="B433" s="17">
        <f t="shared" si="2"/>
        <v>41757</v>
      </c>
      <c r="C433" s="15">
        <v>2</v>
      </c>
      <c r="D433" s="15" t="s">
        <v>351</v>
      </c>
      <c r="E433" s="15">
        <v>1</v>
      </c>
    </row>
    <row r="434" spans="1:5" x14ac:dyDescent="0.25">
      <c r="A434" s="15" t="s">
        <v>36</v>
      </c>
      <c r="B434" s="17">
        <f t="shared" si="2"/>
        <v>41757</v>
      </c>
      <c r="C434" s="15">
        <v>1</v>
      </c>
      <c r="D434" s="15" t="s">
        <v>394</v>
      </c>
      <c r="E434" s="15">
        <v>29</v>
      </c>
    </row>
    <row r="435" spans="1:5" x14ac:dyDescent="0.25">
      <c r="A435" s="15" t="s">
        <v>36</v>
      </c>
      <c r="B435" s="17">
        <f t="shared" si="2"/>
        <v>41757</v>
      </c>
      <c r="C435" s="15">
        <v>2</v>
      </c>
      <c r="D435" s="15" t="s">
        <v>394</v>
      </c>
      <c r="E435" s="15">
        <v>22</v>
      </c>
    </row>
    <row r="436" spans="1:5" x14ac:dyDescent="0.25">
      <c r="A436" s="15" t="s">
        <v>36</v>
      </c>
      <c r="B436" s="17">
        <f t="shared" si="2"/>
        <v>41757</v>
      </c>
      <c r="C436" s="15">
        <v>1</v>
      </c>
      <c r="D436" s="15" t="s">
        <v>352</v>
      </c>
      <c r="E436" s="15">
        <v>1</v>
      </c>
    </row>
    <row r="437" spans="1:5" x14ac:dyDescent="0.25">
      <c r="A437" s="15" t="s">
        <v>36</v>
      </c>
      <c r="B437" s="17">
        <f t="shared" si="2"/>
        <v>41757</v>
      </c>
      <c r="C437" s="15">
        <v>2</v>
      </c>
      <c r="D437" s="15" t="s">
        <v>352</v>
      </c>
      <c r="E437" s="15">
        <v>2</v>
      </c>
    </row>
    <row r="438" spans="1:5" x14ac:dyDescent="0.25">
      <c r="A438" s="15" t="s">
        <v>36</v>
      </c>
      <c r="B438" s="17">
        <f t="shared" si="2"/>
        <v>41757</v>
      </c>
      <c r="C438" s="15">
        <v>1</v>
      </c>
      <c r="D438" s="15" t="s">
        <v>330</v>
      </c>
      <c r="E438" s="15">
        <v>3</v>
      </c>
    </row>
    <row r="439" spans="1:5" x14ac:dyDescent="0.25">
      <c r="A439" s="15" t="s">
        <v>36</v>
      </c>
      <c r="B439" s="17">
        <f t="shared" si="2"/>
        <v>41757</v>
      </c>
      <c r="C439" s="15">
        <v>2</v>
      </c>
      <c r="D439" s="15" t="s">
        <v>331</v>
      </c>
      <c r="E439" s="15">
        <v>22</v>
      </c>
    </row>
    <row r="440" spans="1:5" x14ac:dyDescent="0.25">
      <c r="A440" s="15" t="s">
        <v>36</v>
      </c>
      <c r="B440" s="17">
        <f t="shared" si="2"/>
        <v>41757</v>
      </c>
      <c r="C440" s="15">
        <v>1</v>
      </c>
      <c r="D440" s="15" t="s">
        <v>398</v>
      </c>
      <c r="E440" s="15">
        <v>35</v>
      </c>
    </row>
    <row r="441" spans="1:5" x14ac:dyDescent="0.25">
      <c r="A441" s="15" t="s">
        <v>36</v>
      </c>
      <c r="B441" s="17">
        <f t="shared" si="2"/>
        <v>41757</v>
      </c>
      <c r="C441" s="15">
        <v>1</v>
      </c>
      <c r="D441" s="15" t="s">
        <v>332</v>
      </c>
      <c r="E441" s="15">
        <v>4</v>
      </c>
    </row>
    <row r="442" spans="1:5" x14ac:dyDescent="0.25">
      <c r="A442" s="15" t="s">
        <v>36</v>
      </c>
      <c r="B442" s="17">
        <f t="shared" si="2"/>
        <v>41757</v>
      </c>
      <c r="C442" s="15">
        <v>2</v>
      </c>
      <c r="D442" s="15" t="s">
        <v>332</v>
      </c>
      <c r="E442" s="15">
        <v>9</v>
      </c>
    </row>
    <row r="443" spans="1:5" x14ac:dyDescent="0.25">
      <c r="A443" s="15" t="s">
        <v>36</v>
      </c>
      <c r="B443" s="17">
        <f t="shared" si="2"/>
        <v>41757</v>
      </c>
      <c r="C443" s="15">
        <v>1</v>
      </c>
      <c r="D443" s="15" t="s">
        <v>353</v>
      </c>
      <c r="E443" s="15">
        <v>1</v>
      </c>
    </row>
    <row r="444" spans="1:5" x14ac:dyDescent="0.25">
      <c r="A444" s="15" t="s">
        <v>36</v>
      </c>
      <c r="B444" s="17">
        <f t="shared" si="2"/>
        <v>41757</v>
      </c>
      <c r="C444" s="15">
        <v>1</v>
      </c>
      <c r="D444" s="15" t="s">
        <v>399</v>
      </c>
      <c r="E444" s="15">
        <v>4</v>
      </c>
    </row>
    <row r="445" spans="1:5" x14ac:dyDescent="0.25">
      <c r="A445" s="15" t="s">
        <v>36</v>
      </c>
      <c r="B445" s="17">
        <f t="shared" si="2"/>
        <v>41757</v>
      </c>
      <c r="C445" s="15">
        <v>2</v>
      </c>
      <c r="D445" s="15" t="s">
        <v>399</v>
      </c>
      <c r="E445" s="15">
        <v>4</v>
      </c>
    </row>
    <row r="446" spans="1:5" x14ac:dyDescent="0.25">
      <c r="A446" s="15" t="s">
        <v>36</v>
      </c>
      <c r="B446" s="17">
        <f t="shared" si="2"/>
        <v>41757</v>
      </c>
      <c r="C446" s="15">
        <v>1</v>
      </c>
      <c r="D446" s="15" t="s">
        <v>66</v>
      </c>
      <c r="E446" s="15">
        <v>11</v>
      </c>
    </row>
    <row r="447" spans="1:5" x14ac:dyDescent="0.25">
      <c r="A447" s="15" t="s">
        <v>36</v>
      </c>
      <c r="B447" s="17">
        <f t="shared" si="2"/>
        <v>41757</v>
      </c>
      <c r="C447" s="15">
        <v>2</v>
      </c>
      <c r="D447" s="15" t="s">
        <v>66</v>
      </c>
      <c r="E447" s="15">
        <v>7</v>
      </c>
    </row>
    <row r="448" spans="1:5" x14ac:dyDescent="0.25">
      <c r="A448" s="15" t="s">
        <v>36</v>
      </c>
      <c r="B448" s="17">
        <f t="shared" si="2"/>
        <v>41757</v>
      </c>
      <c r="C448" s="15">
        <v>1</v>
      </c>
      <c r="D448" s="15" t="s">
        <v>333</v>
      </c>
      <c r="E448" s="15">
        <v>2</v>
      </c>
    </row>
    <row r="449" spans="1:5" x14ac:dyDescent="0.25">
      <c r="A449" s="15" t="s">
        <v>36</v>
      </c>
      <c r="B449" s="17">
        <f t="shared" si="2"/>
        <v>41757</v>
      </c>
      <c r="C449" s="15">
        <v>2</v>
      </c>
      <c r="D449" s="15" t="s">
        <v>333</v>
      </c>
      <c r="E449" s="15">
        <v>3</v>
      </c>
    </row>
    <row r="450" spans="1:5" x14ac:dyDescent="0.25">
      <c r="A450" s="15" t="s">
        <v>36</v>
      </c>
      <c r="B450" s="17">
        <f t="shared" si="2"/>
        <v>41757</v>
      </c>
      <c r="C450" s="15">
        <v>1</v>
      </c>
      <c r="D450" s="15" t="s">
        <v>400</v>
      </c>
      <c r="E450" s="15">
        <v>2</v>
      </c>
    </row>
    <row r="451" spans="1:5" x14ac:dyDescent="0.25">
      <c r="A451" s="15" t="s">
        <v>36</v>
      </c>
      <c r="B451" s="17">
        <f t="shared" si="2"/>
        <v>41757</v>
      </c>
      <c r="C451" s="15">
        <v>1</v>
      </c>
      <c r="D451" s="15" t="s">
        <v>354</v>
      </c>
      <c r="E451" s="15">
        <v>1</v>
      </c>
    </row>
    <row r="452" spans="1:5" x14ac:dyDescent="0.25">
      <c r="A452" s="15" t="s">
        <v>36</v>
      </c>
      <c r="B452" s="17">
        <f t="shared" si="2"/>
        <v>41757</v>
      </c>
      <c r="C452" s="15">
        <v>2</v>
      </c>
      <c r="D452" s="15" t="s">
        <v>355</v>
      </c>
      <c r="E452" s="15">
        <v>1</v>
      </c>
    </row>
    <row r="453" spans="1:5" x14ac:dyDescent="0.25">
      <c r="A453" s="15" t="s">
        <v>36</v>
      </c>
      <c r="B453" s="17">
        <f t="shared" si="2"/>
        <v>41757</v>
      </c>
      <c r="C453" s="15">
        <v>1</v>
      </c>
      <c r="D453" s="15" t="s">
        <v>356</v>
      </c>
      <c r="E453" s="15">
        <v>1</v>
      </c>
    </row>
    <row r="454" spans="1:5" x14ac:dyDescent="0.25">
      <c r="A454" s="15" t="s">
        <v>36</v>
      </c>
      <c r="B454" s="17">
        <f t="shared" si="2"/>
        <v>41757</v>
      </c>
      <c r="C454" s="15">
        <v>1</v>
      </c>
      <c r="D454" s="15" t="s">
        <v>122</v>
      </c>
      <c r="E454" s="15">
        <v>2</v>
      </c>
    </row>
    <row r="455" spans="1:5" x14ac:dyDescent="0.25">
      <c r="A455" s="15" t="s">
        <v>36</v>
      </c>
      <c r="B455" s="17">
        <f t="shared" si="2"/>
        <v>41757</v>
      </c>
      <c r="C455" s="15">
        <v>2</v>
      </c>
      <c r="D455" s="15" t="s">
        <v>122</v>
      </c>
      <c r="E455" s="15">
        <v>1</v>
      </c>
    </row>
    <row r="456" spans="1:5" x14ac:dyDescent="0.25">
      <c r="A456" s="15" t="s">
        <v>36</v>
      </c>
      <c r="B456" s="17">
        <f t="shared" si="2"/>
        <v>41757</v>
      </c>
      <c r="C456" s="15">
        <v>2</v>
      </c>
      <c r="D456" s="15" t="s">
        <v>357</v>
      </c>
      <c r="E456" s="15">
        <v>7</v>
      </c>
    </row>
    <row r="457" spans="1:5" x14ac:dyDescent="0.25">
      <c r="A457" s="15" t="s">
        <v>36</v>
      </c>
      <c r="B457" s="17">
        <f t="shared" si="2"/>
        <v>41757</v>
      </c>
      <c r="C457" s="15">
        <v>2</v>
      </c>
      <c r="D457" s="15" t="s">
        <v>358</v>
      </c>
      <c r="E457" s="15">
        <v>1</v>
      </c>
    </row>
    <row r="458" spans="1:5" x14ac:dyDescent="0.25">
      <c r="A458" s="15" t="s">
        <v>36</v>
      </c>
      <c r="B458" s="17">
        <f t="shared" si="2"/>
        <v>41757</v>
      </c>
      <c r="C458" s="15">
        <v>1</v>
      </c>
      <c r="D458" s="15" t="s">
        <v>359</v>
      </c>
      <c r="E458" s="15">
        <v>1</v>
      </c>
    </row>
    <row r="459" spans="1:5" x14ac:dyDescent="0.25">
      <c r="A459" s="15" t="s">
        <v>36</v>
      </c>
      <c r="B459" s="17">
        <f t="shared" si="2"/>
        <v>41757</v>
      </c>
      <c r="C459" s="15">
        <v>1</v>
      </c>
      <c r="D459" s="15" t="s">
        <v>360</v>
      </c>
      <c r="E459" s="15">
        <v>1</v>
      </c>
    </row>
    <row r="460" spans="1:5" x14ac:dyDescent="0.25">
      <c r="A460" s="15" t="s">
        <v>36</v>
      </c>
      <c r="B460" s="17">
        <f t="shared" si="2"/>
        <v>41757</v>
      </c>
      <c r="C460" s="15">
        <v>1</v>
      </c>
      <c r="D460" s="15" t="s">
        <v>361</v>
      </c>
      <c r="E460" s="15">
        <v>1</v>
      </c>
    </row>
    <row r="461" spans="1:5" x14ac:dyDescent="0.25">
      <c r="A461" s="15" t="s">
        <v>36</v>
      </c>
      <c r="B461" s="17">
        <f t="shared" si="2"/>
        <v>41757</v>
      </c>
      <c r="C461" s="15">
        <v>2</v>
      </c>
      <c r="D461" s="15" t="s">
        <v>361</v>
      </c>
      <c r="E461" s="15">
        <v>3</v>
      </c>
    </row>
    <row r="462" spans="1:5" x14ac:dyDescent="0.25">
      <c r="A462" s="15" t="s">
        <v>36</v>
      </c>
      <c r="B462" s="17">
        <f t="shared" si="2"/>
        <v>41757</v>
      </c>
      <c r="C462" s="15">
        <v>2</v>
      </c>
      <c r="D462" s="15" t="s">
        <v>362</v>
      </c>
      <c r="E462" s="15">
        <v>1</v>
      </c>
    </row>
    <row r="463" spans="1:5" x14ac:dyDescent="0.25">
      <c r="A463" s="15" t="s">
        <v>36</v>
      </c>
      <c r="B463" s="17">
        <f t="shared" si="2"/>
        <v>41757</v>
      </c>
      <c r="C463" s="15">
        <v>1</v>
      </c>
      <c r="D463" s="15" t="s">
        <v>363</v>
      </c>
      <c r="E463" s="15">
        <v>1</v>
      </c>
    </row>
    <row r="464" spans="1:5" x14ac:dyDescent="0.25">
      <c r="A464" s="15" t="s">
        <v>36</v>
      </c>
      <c r="B464" s="17">
        <f t="shared" si="2"/>
        <v>41757</v>
      </c>
      <c r="C464" s="15">
        <v>2</v>
      </c>
      <c r="D464" s="15" t="s">
        <v>345</v>
      </c>
      <c r="E464" s="15">
        <v>1</v>
      </c>
    </row>
    <row r="465" spans="1:5" x14ac:dyDescent="0.25">
      <c r="A465" s="15" t="s">
        <v>36</v>
      </c>
      <c r="B465" s="17">
        <f t="shared" si="2"/>
        <v>41757</v>
      </c>
      <c r="C465" s="15">
        <v>1</v>
      </c>
      <c r="D465" s="15" t="s">
        <v>364</v>
      </c>
      <c r="E465" s="15">
        <v>1</v>
      </c>
    </row>
    <row r="466" spans="1:5" x14ac:dyDescent="0.25">
      <c r="A466" s="15" t="s">
        <v>36</v>
      </c>
      <c r="B466" s="17">
        <v>41946</v>
      </c>
      <c r="C466" s="15">
        <v>2</v>
      </c>
      <c r="D466" s="15" t="s">
        <v>365</v>
      </c>
      <c r="E466" s="15">
        <v>1</v>
      </c>
    </row>
    <row r="467" spans="1:5" x14ac:dyDescent="0.25">
      <c r="A467" s="15" t="s">
        <v>36</v>
      </c>
      <c r="B467" s="17">
        <f t="shared" ref="B467:B511" si="3">B466</f>
        <v>41946</v>
      </c>
      <c r="C467" s="15">
        <v>1</v>
      </c>
      <c r="D467" s="15" t="s">
        <v>76</v>
      </c>
      <c r="E467" s="15">
        <v>5</v>
      </c>
    </row>
    <row r="468" spans="1:5" x14ac:dyDescent="0.25">
      <c r="A468" s="15" t="s">
        <v>36</v>
      </c>
      <c r="B468" s="17">
        <f t="shared" si="3"/>
        <v>41946</v>
      </c>
      <c r="C468" s="15">
        <v>2</v>
      </c>
      <c r="D468" s="15" t="s">
        <v>76</v>
      </c>
      <c r="E468" s="15">
        <v>1</v>
      </c>
    </row>
    <row r="469" spans="1:5" x14ac:dyDescent="0.25">
      <c r="A469" s="15" t="s">
        <v>36</v>
      </c>
      <c r="B469" s="17">
        <f t="shared" si="3"/>
        <v>41946</v>
      </c>
      <c r="C469" s="15">
        <v>2</v>
      </c>
      <c r="D469" s="15" t="s">
        <v>337</v>
      </c>
      <c r="E469" s="15">
        <v>1</v>
      </c>
    </row>
    <row r="470" spans="1:5" x14ac:dyDescent="0.25">
      <c r="A470" s="15" t="s">
        <v>36</v>
      </c>
      <c r="B470" s="17">
        <f t="shared" si="3"/>
        <v>41946</v>
      </c>
      <c r="C470" s="15">
        <v>2</v>
      </c>
      <c r="D470" s="15" t="s">
        <v>325</v>
      </c>
      <c r="E470" s="15">
        <v>1</v>
      </c>
    </row>
    <row r="471" spans="1:5" x14ac:dyDescent="0.25">
      <c r="A471" s="15" t="s">
        <v>36</v>
      </c>
      <c r="B471" s="17">
        <f t="shared" si="3"/>
        <v>41946</v>
      </c>
      <c r="C471" s="15">
        <v>2</v>
      </c>
      <c r="D471" s="15" t="s">
        <v>366</v>
      </c>
      <c r="E471" s="15">
        <v>1</v>
      </c>
    </row>
    <row r="472" spans="1:5" x14ac:dyDescent="0.25">
      <c r="A472" s="15" t="s">
        <v>36</v>
      </c>
      <c r="B472" s="17">
        <f t="shared" si="3"/>
        <v>41946</v>
      </c>
      <c r="C472" s="15">
        <v>1</v>
      </c>
      <c r="D472" s="15" t="s">
        <v>367</v>
      </c>
      <c r="E472" s="15">
        <v>2</v>
      </c>
    </row>
    <row r="473" spans="1:5" x14ac:dyDescent="0.25">
      <c r="A473" s="15" t="s">
        <v>36</v>
      </c>
      <c r="B473" s="17">
        <f t="shared" si="3"/>
        <v>41946</v>
      </c>
      <c r="C473" s="15">
        <v>2</v>
      </c>
      <c r="D473" s="15" t="s">
        <v>367</v>
      </c>
      <c r="E473" s="15">
        <v>3</v>
      </c>
    </row>
    <row r="474" spans="1:5" x14ac:dyDescent="0.25">
      <c r="A474" s="15" t="s">
        <v>36</v>
      </c>
      <c r="B474" s="17">
        <f t="shared" si="3"/>
        <v>41946</v>
      </c>
      <c r="C474" s="15">
        <v>1</v>
      </c>
      <c r="D474" s="15" t="s">
        <v>82</v>
      </c>
      <c r="E474" s="15">
        <v>2</v>
      </c>
    </row>
    <row r="475" spans="1:5" x14ac:dyDescent="0.25">
      <c r="A475" s="15" t="s">
        <v>36</v>
      </c>
      <c r="B475" s="17">
        <f t="shared" si="3"/>
        <v>41946</v>
      </c>
      <c r="C475" s="15">
        <v>2</v>
      </c>
      <c r="D475" s="15" t="s">
        <v>82</v>
      </c>
      <c r="E475" s="15">
        <v>11</v>
      </c>
    </row>
    <row r="476" spans="1:5" x14ac:dyDescent="0.25">
      <c r="A476" s="15" t="s">
        <v>36</v>
      </c>
      <c r="B476" s="17">
        <f t="shared" si="3"/>
        <v>41946</v>
      </c>
      <c r="C476" s="15">
        <v>2</v>
      </c>
      <c r="D476" s="15" t="s">
        <v>368</v>
      </c>
      <c r="E476" s="15">
        <v>1</v>
      </c>
    </row>
    <row r="477" spans="1:5" x14ac:dyDescent="0.25">
      <c r="A477" s="15" t="s">
        <v>36</v>
      </c>
      <c r="B477" s="17">
        <f t="shared" si="3"/>
        <v>41946</v>
      </c>
      <c r="C477" s="15">
        <v>1</v>
      </c>
      <c r="D477" s="15" t="s">
        <v>83</v>
      </c>
      <c r="E477" s="15">
        <v>14</v>
      </c>
    </row>
    <row r="478" spans="1:5" x14ac:dyDescent="0.25">
      <c r="A478" s="15" t="s">
        <v>36</v>
      </c>
      <c r="B478" s="17">
        <f t="shared" si="3"/>
        <v>41946</v>
      </c>
      <c r="C478" s="15">
        <v>2</v>
      </c>
      <c r="D478" s="15" t="s">
        <v>83</v>
      </c>
      <c r="E478" s="15">
        <v>16</v>
      </c>
    </row>
    <row r="479" spans="1:5" x14ac:dyDescent="0.25">
      <c r="A479" s="15" t="s">
        <v>36</v>
      </c>
      <c r="B479" s="17">
        <f t="shared" si="3"/>
        <v>41946</v>
      </c>
      <c r="C479" s="15">
        <v>1</v>
      </c>
      <c r="D479" s="15" t="s">
        <v>369</v>
      </c>
      <c r="E479" s="15">
        <v>1</v>
      </c>
    </row>
    <row r="480" spans="1:5" x14ac:dyDescent="0.25">
      <c r="A480" s="15" t="s">
        <v>36</v>
      </c>
      <c r="B480" s="17">
        <f t="shared" si="3"/>
        <v>41946</v>
      </c>
      <c r="C480" s="15">
        <v>2</v>
      </c>
      <c r="D480" s="15" t="s">
        <v>369</v>
      </c>
      <c r="E480" s="15">
        <v>1</v>
      </c>
    </row>
    <row r="481" spans="1:5" x14ac:dyDescent="0.25">
      <c r="A481" s="15" t="s">
        <v>36</v>
      </c>
      <c r="B481" s="17">
        <f t="shared" si="3"/>
        <v>41946</v>
      </c>
      <c r="C481" s="15">
        <v>2</v>
      </c>
      <c r="D481" s="15" t="s">
        <v>341</v>
      </c>
      <c r="E481" s="15">
        <v>1</v>
      </c>
    </row>
    <row r="482" spans="1:5" x14ac:dyDescent="0.25">
      <c r="A482" s="15" t="s">
        <v>36</v>
      </c>
      <c r="B482" s="17">
        <f t="shared" si="3"/>
        <v>41946</v>
      </c>
      <c r="C482" s="15">
        <v>2</v>
      </c>
      <c r="D482" s="15" t="s">
        <v>371</v>
      </c>
      <c r="E482" s="15">
        <v>3</v>
      </c>
    </row>
    <row r="483" spans="1:5" x14ac:dyDescent="0.25">
      <c r="A483" s="15" t="s">
        <v>36</v>
      </c>
      <c r="B483" s="17">
        <f t="shared" si="3"/>
        <v>41946</v>
      </c>
      <c r="C483" s="15">
        <v>1</v>
      </c>
      <c r="D483" s="15" t="s">
        <v>401</v>
      </c>
      <c r="E483" s="15">
        <v>2</v>
      </c>
    </row>
    <row r="484" spans="1:5" x14ac:dyDescent="0.25">
      <c r="A484" s="15" t="s">
        <v>36</v>
      </c>
      <c r="B484" s="17">
        <f t="shared" si="3"/>
        <v>41946</v>
      </c>
      <c r="C484" s="15">
        <v>2</v>
      </c>
      <c r="D484" s="15" t="s">
        <v>383</v>
      </c>
      <c r="E484" s="15">
        <v>1</v>
      </c>
    </row>
    <row r="485" spans="1:5" x14ac:dyDescent="0.25">
      <c r="A485" s="15" t="s">
        <v>36</v>
      </c>
      <c r="B485" s="17">
        <f t="shared" si="3"/>
        <v>41946</v>
      </c>
      <c r="C485" s="15">
        <v>2</v>
      </c>
      <c r="D485" s="15" t="s">
        <v>402</v>
      </c>
      <c r="E485" s="15">
        <v>2</v>
      </c>
    </row>
    <row r="486" spans="1:5" x14ac:dyDescent="0.25">
      <c r="A486" s="15" t="s">
        <v>36</v>
      </c>
      <c r="B486" s="17">
        <f t="shared" si="3"/>
        <v>41946</v>
      </c>
      <c r="C486" s="15">
        <v>1</v>
      </c>
      <c r="D486" s="15" t="s">
        <v>397</v>
      </c>
      <c r="E486" s="15">
        <v>21</v>
      </c>
    </row>
    <row r="487" spans="1:5" x14ac:dyDescent="0.25">
      <c r="A487" s="15" t="s">
        <v>36</v>
      </c>
      <c r="B487" s="17">
        <f t="shared" si="3"/>
        <v>41946</v>
      </c>
      <c r="C487" s="15">
        <v>2</v>
      </c>
      <c r="D487" s="15" t="s">
        <v>397</v>
      </c>
      <c r="E487" s="15">
        <v>9</v>
      </c>
    </row>
    <row r="488" spans="1:5" x14ac:dyDescent="0.25">
      <c r="A488" s="15" t="s">
        <v>36</v>
      </c>
      <c r="B488" s="17">
        <f t="shared" si="3"/>
        <v>41946</v>
      </c>
      <c r="C488" s="15">
        <v>1</v>
      </c>
      <c r="D488" s="15" t="s">
        <v>403</v>
      </c>
      <c r="E488" s="15">
        <v>3</v>
      </c>
    </row>
    <row r="489" spans="1:5" x14ac:dyDescent="0.25">
      <c r="A489" s="15" t="s">
        <v>36</v>
      </c>
      <c r="B489" s="17">
        <f t="shared" si="3"/>
        <v>41946</v>
      </c>
      <c r="C489" s="15">
        <v>2</v>
      </c>
      <c r="D489" s="15" t="s">
        <v>403</v>
      </c>
      <c r="E489" s="15">
        <v>1</v>
      </c>
    </row>
    <row r="490" spans="1:5" x14ac:dyDescent="0.25">
      <c r="A490" s="15" t="s">
        <v>36</v>
      </c>
      <c r="B490" s="17">
        <f t="shared" si="3"/>
        <v>41946</v>
      </c>
      <c r="C490" s="15">
        <v>1</v>
      </c>
      <c r="D490" s="15" t="s">
        <v>386</v>
      </c>
      <c r="E490" s="15">
        <v>1</v>
      </c>
    </row>
    <row r="491" spans="1:5" x14ac:dyDescent="0.25">
      <c r="A491" s="15" t="s">
        <v>36</v>
      </c>
      <c r="B491" s="17">
        <f t="shared" si="3"/>
        <v>41946</v>
      </c>
      <c r="C491" s="15">
        <v>2</v>
      </c>
      <c r="D491" s="15" t="s">
        <v>385</v>
      </c>
      <c r="E491" s="15">
        <v>2</v>
      </c>
    </row>
    <row r="492" spans="1:5" x14ac:dyDescent="0.25">
      <c r="A492" s="15" t="s">
        <v>36</v>
      </c>
      <c r="B492" s="17">
        <f t="shared" si="3"/>
        <v>41946</v>
      </c>
      <c r="C492" s="15">
        <v>2</v>
      </c>
      <c r="D492" s="15" t="s">
        <v>404</v>
      </c>
      <c r="E492" s="15">
        <v>1</v>
      </c>
    </row>
    <row r="493" spans="1:5" x14ac:dyDescent="0.25">
      <c r="A493" s="15" t="s">
        <v>36</v>
      </c>
      <c r="B493" s="17">
        <f t="shared" si="3"/>
        <v>41946</v>
      </c>
      <c r="C493" s="15">
        <v>1</v>
      </c>
      <c r="D493" s="15" t="s">
        <v>372</v>
      </c>
      <c r="E493" s="15">
        <v>54</v>
      </c>
    </row>
    <row r="494" spans="1:5" x14ac:dyDescent="0.25">
      <c r="A494" s="15" t="s">
        <v>36</v>
      </c>
      <c r="B494" s="17">
        <f t="shared" si="3"/>
        <v>41946</v>
      </c>
      <c r="C494" s="15">
        <v>2</v>
      </c>
      <c r="D494" s="15" t="s">
        <v>372</v>
      </c>
      <c r="E494" s="15">
        <v>37</v>
      </c>
    </row>
    <row r="495" spans="1:5" x14ac:dyDescent="0.25">
      <c r="A495" s="15" t="s">
        <v>36</v>
      </c>
      <c r="B495" s="17">
        <f t="shared" si="3"/>
        <v>41946</v>
      </c>
      <c r="C495" s="15">
        <v>1</v>
      </c>
      <c r="D495" s="15" t="s">
        <v>393</v>
      </c>
      <c r="E495" s="15">
        <v>1</v>
      </c>
    </row>
    <row r="496" spans="1:5" x14ac:dyDescent="0.25">
      <c r="A496" s="15" t="s">
        <v>36</v>
      </c>
      <c r="B496" s="17">
        <f t="shared" si="3"/>
        <v>41946</v>
      </c>
      <c r="C496" s="15">
        <v>2</v>
      </c>
      <c r="D496" s="15" t="s">
        <v>405</v>
      </c>
      <c r="E496" s="15">
        <v>5</v>
      </c>
    </row>
    <row r="497" spans="1:5" x14ac:dyDescent="0.25">
      <c r="A497" s="15" t="s">
        <v>36</v>
      </c>
      <c r="B497" s="17">
        <f t="shared" si="3"/>
        <v>41946</v>
      </c>
      <c r="C497" s="15">
        <v>1</v>
      </c>
      <c r="D497" s="15" t="s">
        <v>331</v>
      </c>
      <c r="E497" s="15">
        <v>2</v>
      </c>
    </row>
    <row r="498" spans="1:5" x14ac:dyDescent="0.25">
      <c r="A498" s="15" t="s">
        <v>36</v>
      </c>
      <c r="B498" s="17">
        <f t="shared" si="3"/>
        <v>41946</v>
      </c>
      <c r="C498" s="15">
        <v>2</v>
      </c>
      <c r="D498" s="15" t="s">
        <v>331</v>
      </c>
      <c r="E498" s="15">
        <v>8</v>
      </c>
    </row>
    <row r="499" spans="1:5" x14ac:dyDescent="0.25">
      <c r="A499" s="15" t="s">
        <v>36</v>
      </c>
      <c r="B499" s="17">
        <f t="shared" si="3"/>
        <v>41946</v>
      </c>
      <c r="C499" s="15">
        <v>2</v>
      </c>
      <c r="D499" s="15" t="s">
        <v>332</v>
      </c>
      <c r="E499" s="15">
        <v>1</v>
      </c>
    </row>
    <row r="500" spans="1:5" x14ac:dyDescent="0.25">
      <c r="A500" s="15" t="s">
        <v>36</v>
      </c>
      <c r="B500" s="17">
        <f t="shared" si="3"/>
        <v>41946</v>
      </c>
      <c r="C500" s="15">
        <v>1</v>
      </c>
      <c r="D500" s="15" t="s">
        <v>66</v>
      </c>
      <c r="E500" s="15">
        <v>6</v>
      </c>
    </row>
    <row r="501" spans="1:5" x14ac:dyDescent="0.25">
      <c r="A501" s="15" t="s">
        <v>36</v>
      </c>
      <c r="B501" s="17">
        <f t="shared" si="3"/>
        <v>41946</v>
      </c>
      <c r="C501" s="15">
        <v>2</v>
      </c>
      <c r="D501" s="15" t="s">
        <v>66</v>
      </c>
      <c r="E501" s="15">
        <v>12</v>
      </c>
    </row>
    <row r="502" spans="1:5" x14ac:dyDescent="0.25">
      <c r="A502" s="15" t="s">
        <v>36</v>
      </c>
      <c r="B502" s="17">
        <f t="shared" si="3"/>
        <v>41946</v>
      </c>
      <c r="C502" s="15">
        <v>1</v>
      </c>
      <c r="D502" s="15" t="s">
        <v>333</v>
      </c>
      <c r="E502" s="15">
        <v>21</v>
      </c>
    </row>
    <row r="503" spans="1:5" x14ac:dyDescent="0.25">
      <c r="A503" s="15" t="s">
        <v>36</v>
      </c>
      <c r="B503" s="17">
        <f t="shared" si="3"/>
        <v>41946</v>
      </c>
      <c r="C503" s="15">
        <v>2</v>
      </c>
      <c r="D503" s="15" t="s">
        <v>333</v>
      </c>
      <c r="E503" s="15">
        <v>16</v>
      </c>
    </row>
    <row r="504" spans="1:5" x14ac:dyDescent="0.25">
      <c r="A504" s="15" t="s">
        <v>36</v>
      </c>
      <c r="B504" s="17">
        <f t="shared" si="3"/>
        <v>41946</v>
      </c>
      <c r="C504" s="15">
        <v>1</v>
      </c>
      <c r="D504" s="15" t="s">
        <v>355</v>
      </c>
      <c r="E504" s="15">
        <v>3</v>
      </c>
    </row>
    <row r="505" spans="1:5" x14ac:dyDescent="0.25">
      <c r="A505" s="15" t="s">
        <v>36</v>
      </c>
      <c r="B505" s="17">
        <f t="shared" si="3"/>
        <v>41946</v>
      </c>
      <c r="C505" s="15">
        <v>2</v>
      </c>
      <c r="D505" s="15" t="s">
        <v>344</v>
      </c>
      <c r="E505" s="15">
        <v>2</v>
      </c>
    </row>
    <row r="506" spans="1:5" x14ac:dyDescent="0.25">
      <c r="A506" s="15" t="s">
        <v>36</v>
      </c>
      <c r="B506" s="17">
        <f t="shared" si="3"/>
        <v>41946</v>
      </c>
      <c r="C506" s="15">
        <v>1</v>
      </c>
      <c r="D506" s="15" t="s">
        <v>361</v>
      </c>
      <c r="E506" s="15">
        <v>4</v>
      </c>
    </row>
    <row r="507" spans="1:5" x14ac:dyDescent="0.25">
      <c r="A507" s="15" t="s">
        <v>36</v>
      </c>
      <c r="B507" s="17">
        <f t="shared" si="3"/>
        <v>41946</v>
      </c>
      <c r="C507" s="15">
        <v>2</v>
      </c>
      <c r="D507" s="15" t="s">
        <v>373</v>
      </c>
      <c r="E507" s="15">
        <v>1</v>
      </c>
    </row>
    <row r="508" spans="1:5" x14ac:dyDescent="0.25">
      <c r="A508" s="15" t="s">
        <v>36</v>
      </c>
      <c r="B508" s="17">
        <f t="shared" si="3"/>
        <v>41946</v>
      </c>
      <c r="C508" s="15">
        <v>1</v>
      </c>
      <c r="D508" s="15" t="s">
        <v>374</v>
      </c>
      <c r="E508" s="15">
        <v>1</v>
      </c>
    </row>
    <row r="509" spans="1:5" x14ac:dyDescent="0.25">
      <c r="A509" s="15" t="s">
        <v>36</v>
      </c>
      <c r="B509" s="17">
        <f t="shared" si="3"/>
        <v>41946</v>
      </c>
      <c r="C509" s="15">
        <v>1</v>
      </c>
      <c r="D509" s="15" t="s">
        <v>363</v>
      </c>
      <c r="E509" s="15">
        <v>2</v>
      </c>
    </row>
    <row r="510" spans="1:5" x14ac:dyDescent="0.25">
      <c r="A510" s="15" t="s">
        <v>36</v>
      </c>
      <c r="B510" s="17">
        <f t="shared" si="3"/>
        <v>41946</v>
      </c>
      <c r="C510" s="15">
        <v>2</v>
      </c>
      <c r="D510" s="15" t="s">
        <v>375</v>
      </c>
      <c r="E510" s="15">
        <v>1</v>
      </c>
    </row>
    <row r="511" spans="1:5" x14ac:dyDescent="0.25">
      <c r="A511" s="15" t="s">
        <v>36</v>
      </c>
      <c r="B511" s="17">
        <f t="shared" si="3"/>
        <v>41946</v>
      </c>
      <c r="C511" s="15">
        <v>2</v>
      </c>
      <c r="D511" s="15" t="s">
        <v>334</v>
      </c>
      <c r="E511" s="15">
        <v>2</v>
      </c>
    </row>
    <row r="512" spans="1:5" x14ac:dyDescent="0.25">
      <c r="A512" s="15" t="s">
        <v>38</v>
      </c>
      <c r="B512" s="17">
        <v>41767</v>
      </c>
      <c r="C512" s="15">
        <v>2</v>
      </c>
      <c r="D512" s="15" t="s">
        <v>74</v>
      </c>
      <c r="E512" s="15">
        <v>1</v>
      </c>
    </row>
    <row r="513" spans="1:5" x14ac:dyDescent="0.25">
      <c r="A513" s="15" t="s">
        <v>38</v>
      </c>
      <c r="B513" s="17">
        <f t="shared" ref="B513:B545" si="4">B512</f>
        <v>41767</v>
      </c>
      <c r="C513" s="15">
        <v>2</v>
      </c>
      <c r="D513" s="15" t="s">
        <v>76</v>
      </c>
      <c r="E513" s="15">
        <v>1</v>
      </c>
    </row>
    <row r="514" spans="1:5" x14ac:dyDescent="0.25">
      <c r="A514" s="15" t="s">
        <v>38</v>
      </c>
      <c r="B514" s="17">
        <f t="shared" si="4"/>
        <v>41767</v>
      </c>
      <c r="C514" s="15">
        <v>2</v>
      </c>
      <c r="D514" s="15" t="s">
        <v>325</v>
      </c>
      <c r="E514" s="15">
        <v>1</v>
      </c>
    </row>
    <row r="515" spans="1:5" x14ac:dyDescent="0.25">
      <c r="A515" s="15" t="s">
        <v>38</v>
      </c>
      <c r="B515" s="17">
        <f t="shared" si="4"/>
        <v>41767</v>
      </c>
      <c r="C515" s="15">
        <v>1</v>
      </c>
      <c r="D515" s="15" t="s">
        <v>82</v>
      </c>
      <c r="E515" s="15">
        <v>2</v>
      </c>
    </row>
    <row r="516" spans="1:5" x14ac:dyDescent="0.25">
      <c r="A516" s="15" t="s">
        <v>38</v>
      </c>
      <c r="B516" s="17">
        <f t="shared" si="4"/>
        <v>41767</v>
      </c>
      <c r="C516" s="15">
        <v>2</v>
      </c>
      <c r="D516" s="15" t="s">
        <v>82</v>
      </c>
      <c r="E516" s="15">
        <v>4</v>
      </c>
    </row>
    <row r="517" spans="1:5" x14ac:dyDescent="0.25">
      <c r="A517" s="15" t="s">
        <v>38</v>
      </c>
      <c r="B517" s="17">
        <f t="shared" si="4"/>
        <v>41767</v>
      </c>
      <c r="C517" s="15">
        <v>2</v>
      </c>
      <c r="D517" s="15" t="s">
        <v>341</v>
      </c>
      <c r="E517" s="15">
        <v>1</v>
      </c>
    </row>
    <row r="518" spans="1:5" x14ac:dyDescent="0.25">
      <c r="A518" s="15" t="s">
        <v>38</v>
      </c>
      <c r="B518" s="17">
        <f t="shared" si="4"/>
        <v>41767</v>
      </c>
      <c r="C518" s="15">
        <v>2</v>
      </c>
      <c r="D518" s="15" t="s">
        <v>371</v>
      </c>
      <c r="E518" s="15">
        <v>1</v>
      </c>
    </row>
    <row r="519" spans="1:5" x14ac:dyDescent="0.25">
      <c r="A519" s="15" t="s">
        <v>38</v>
      </c>
      <c r="B519" s="17">
        <f t="shared" si="4"/>
        <v>41767</v>
      </c>
      <c r="C519" s="15">
        <v>1</v>
      </c>
      <c r="D519" s="15" t="s">
        <v>376</v>
      </c>
      <c r="E519" s="15">
        <v>2</v>
      </c>
    </row>
    <row r="520" spans="1:5" x14ac:dyDescent="0.25">
      <c r="A520" s="15" t="s">
        <v>38</v>
      </c>
      <c r="B520" s="17">
        <f t="shared" si="4"/>
        <v>41767</v>
      </c>
      <c r="C520" s="15">
        <v>2</v>
      </c>
      <c r="D520" s="15" t="s">
        <v>377</v>
      </c>
      <c r="E520" s="15">
        <v>1</v>
      </c>
    </row>
    <row r="521" spans="1:5" x14ac:dyDescent="0.25">
      <c r="A521" s="15" t="s">
        <v>38</v>
      </c>
      <c r="B521" s="17">
        <f t="shared" si="4"/>
        <v>41767</v>
      </c>
      <c r="C521" s="15">
        <v>1</v>
      </c>
      <c r="D521" s="15" t="s">
        <v>342</v>
      </c>
      <c r="E521" s="15">
        <v>1</v>
      </c>
    </row>
    <row r="522" spans="1:5" x14ac:dyDescent="0.25">
      <c r="A522" s="15" t="s">
        <v>38</v>
      </c>
      <c r="B522" s="17">
        <f t="shared" si="4"/>
        <v>41767</v>
      </c>
      <c r="C522" s="15">
        <v>1</v>
      </c>
      <c r="D522" s="15" t="s">
        <v>397</v>
      </c>
      <c r="E522" s="15">
        <v>7</v>
      </c>
    </row>
    <row r="523" spans="1:5" x14ac:dyDescent="0.25">
      <c r="A523" s="15" t="s">
        <v>38</v>
      </c>
      <c r="B523" s="17">
        <f t="shared" si="4"/>
        <v>41767</v>
      </c>
      <c r="C523" s="15">
        <v>2</v>
      </c>
      <c r="D523" s="15" t="s">
        <v>384</v>
      </c>
      <c r="E523" s="15">
        <v>8</v>
      </c>
    </row>
    <row r="524" spans="1:5" x14ac:dyDescent="0.25">
      <c r="A524" s="15" t="s">
        <v>38</v>
      </c>
      <c r="B524" s="17">
        <f t="shared" si="4"/>
        <v>41767</v>
      </c>
      <c r="C524" s="15">
        <v>1</v>
      </c>
      <c r="D524" s="15" t="s">
        <v>406</v>
      </c>
      <c r="E524" s="15">
        <v>1</v>
      </c>
    </row>
    <row r="525" spans="1:5" x14ac:dyDescent="0.25">
      <c r="A525" s="15" t="s">
        <v>38</v>
      </c>
      <c r="B525" s="17">
        <f t="shared" si="4"/>
        <v>41767</v>
      </c>
      <c r="C525" s="15">
        <v>2</v>
      </c>
      <c r="D525" s="15" t="s">
        <v>407</v>
      </c>
      <c r="E525" s="15">
        <v>1</v>
      </c>
    </row>
    <row r="526" spans="1:5" x14ac:dyDescent="0.25">
      <c r="A526" s="15" t="s">
        <v>38</v>
      </c>
      <c r="B526" s="17">
        <f t="shared" si="4"/>
        <v>41767</v>
      </c>
      <c r="C526" s="15">
        <v>2</v>
      </c>
      <c r="D526" s="15" t="s">
        <v>386</v>
      </c>
      <c r="E526" s="15">
        <v>1</v>
      </c>
    </row>
    <row r="527" spans="1:5" x14ac:dyDescent="0.25">
      <c r="A527" s="15" t="s">
        <v>38</v>
      </c>
      <c r="B527" s="17">
        <f t="shared" si="4"/>
        <v>41767</v>
      </c>
      <c r="C527" s="15">
        <v>2</v>
      </c>
      <c r="D527" s="15" t="s">
        <v>378</v>
      </c>
      <c r="E527" s="15">
        <v>1</v>
      </c>
    </row>
    <row r="528" spans="1:5" x14ac:dyDescent="0.25">
      <c r="A528" s="15" t="s">
        <v>38</v>
      </c>
      <c r="B528" s="17">
        <f t="shared" si="4"/>
        <v>41767</v>
      </c>
      <c r="C528" s="15">
        <v>1</v>
      </c>
      <c r="D528" s="15" t="s">
        <v>372</v>
      </c>
      <c r="E528" s="15">
        <v>14</v>
      </c>
    </row>
    <row r="529" spans="1:5" x14ac:dyDescent="0.25">
      <c r="A529" s="15" t="s">
        <v>38</v>
      </c>
      <c r="B529" s="17">
        <f t="shared" si="4"/>
        <v>41767</v>
      </c>
      <c r="C529" s="15">
        <v>2</v>
      </c>
      <c r="D529" s="15" t="s">
        <v>372</v>
      </c>
      <c r="E529" s="15">
        <v>16</v>
      </c>
    </row>
    <row r="530" spans="1:5" x14ac:dyDescent="0.25">
      <c r="A530" s="15" t="s">
        <v>38</v>
      </c>
      <c r="B530" s="17">
        <f t="shared" si="4"/>
        <v>41767</v>
      </c>
      <c r="C530" s="15">
        <v>1</v>
      </c>
      <c r="D530" s="15" t="s">
        <v>388</v>
      </c>
      <c r="E530" s="15">
        <v>6</v>
      </c>
    </row>
    <row r="531" spans="1:5" x14ac:dyDescent="0.25">
      <c r="A531" s="15" t="s">
        <v>38</v>
      </c>
      <c r="B531" s="17">
        <f t="shared" si="4"/>
        <v>41767</v>
      </c>
      <c r="C531" s="15">
        <v>2</v>
      </c>
      <c r="D531" s="15" t="s">
        <v>388</v>
      </c>
      <c r="E531" s="15">
        <v>5</v>
      </c>
    </row>
    <row r="532" spans="1:5" x14ac:dyDescent="0.25">
      <c r="A532" s="15" t="s">
        <v>38</v>
      </c>
      <c r="B532" s="17">
        <f t="shared" si="4"/>
        <v>41767</v>
      </c>
      <c r="C532" s="15">
        <v>1</v>
      </c>
      <c r="D532" s="15" t="s">
        <v>351</v>
      </c>
      <c r="E532" s="15">
        <v>1</v>
      </c>
    </row>
    <row r="533" spans="1:5" x14ac:dyDescent="0.25">
      <c r="A533" s="15" t="s">
        <v>38</v>
      </c>
      <c r="B533" s="17">
        <f t="shared" si="4"/>
        <v>41767</v>
      </c>
      <c r="C533" s="15">
        <v>2</v>
      </c>
      <c r="D533" s="15" t="s">
        <v>351</v>
      </c>
      <c r="E533" s="15">
        <v>1</v>
      </c>
    </row>
    <row r="534" spans="1:5" x14ac:dyDescent="0.25">
      <c r="A534" s="15" t="s">
        <v>38</v>
      </c>
      <c r="B534" s="17">
        <f t="shared" si="4"/>
        <v>41767</v>
      </c>
      <c r="C534" s="15">
        <v>2</v>
      </c>
      <c r="D534" s="15" t="s">
        <v>394</v>
      </c>
      <c r="E534" s="15">
        <v>1</v>
      </c>
    </row>
    <row r="535" spans="1:5" x14ac:dyDescent="0.25">
      <c r="A535" s="15" t="s">
        <v>38</v>
      </c>
      <c r="B535" s="17">
        <f t="shared" si="4"/>
        <v>41767</v>
      </c>
      <c r="C535" s="15">
        <v>1</v>
      </c>
      <c r="D535" s="15" t="s">
        <v>408</v>
      </c>
      <c r="E535" s="15">
        <v>75</v>
      </c>
    </row>
    <row r="536" spans="1:5" x14ac:dyDescent="0.25">
      <c r="A536" s="15" t="s">
        <v>38</v>
      </c>
      <c r="B536" s="17">
        <f t="shared" si="4"/>
        <v>41767</v>
      </c>
      <c r="C536" s="15">
        <v>2</v>
      </c>
      <c r="D536" s="15" t="s">
        <v>408</v>
      </c>
      <c r="E536" s="15">
        <v>65</v>
      </c>
    </row>
    <row r="537" spans="1:5" x14ac:dyDescent="0.25">
      <c r="A537" s="15" t="s">
        <v>38</v>
      </c>
      <c r="B537" s="17">
        <f t="shared" si="4"/>
        <v>41767</v>
      </c>
      <c r="C537" s="15">
        <v>1</v>
      </c>
      <c r="D537" s="15" t="s">
        <v>330</v>
      </c>
      <c r="E537" s="15">
        <v>1</v>
      </c>
    </row>
    <row r="538" spans="1:5" x14ac:dyDescent="0.25">
      <c r="A538" s="15" t="s">
        <v>38</v>
      </c>
      <c r="B538" s="17">
        <f t="shared" si="4"/>
        <v>41767</v>
      </c>
      <c r="C538" s="15">
        <v>1</v>
      </c>
      <c r="D538" s="15" t="s">
        <v>332</v>
      </c>
      <c r="E538" s="15">
        <v>3</v>
      </c>
    </row>
    <row r="539" spans="1:5" x14ac:dyDescent="0.25">
      <c r="A539" s="15" t="s">
        <v>38</v>
      </c>
      <c r="B539" s="17">
        <f t="shared" si="4"/>
        <v>41767</v>
      </c>
      <c r="C539" s="15">
        <v>2</v>
      </c>
      <c r="D539" s="15" t="s">
        <v>332</v>
      </c>
      <c r="E539" s="15">
        <v>3</v>
      </c>
    </row>
    <row r="540" spans="1:5" x14ac:dyDescent="0.25">
      <c r="A540" s="15" t="s">
        <v>38</v>
      </c>
      <c r="B540" s="17">
        <f t="shared" si="4"/>
        <v>41767</v>
      </c>
      <c r="C540" s="15">
        <v>1</v>
      </c>
      <c r="D540" s="15" t="s">
        <v>399</v>
      </c>
      <c r="E540" s="15">
        <v>1</v>
      </c>
    </row>
    <row r="541" spans="1:5" x14ac:dyDescent="0.25">
      <c r="A541" s="15" t="s">
        <v>38</v>
      </c>
      <c r="B541" s="17">
        <f t="shared" si="4"/>
        <v>41767</v>
      </c>
      <c r="C541" s="15">
        <v>1</v>
      </c>
      <c r="D541" s="15" t="s">
        <v>66</v>
      </c>
      <c r="E541" s="15">
        <v>39</v>
      </c>
    </row>
    <row r="542" spans="1:5" x14ac:dyDescent="0.25">
      <c r="A542" s="15" t="s">
        <v>38</v>
      </c>
      <c r="B542" s="17">
        <f t="shared" si="4"/>
        <v>41767</v>
      </c>
      <c r="C542" s="15">
        <v>2</v>
      </c>
      <c r="D542" s="15" t="s">
        <v>66</v>
      </c>
      <c r="E542" s="15">
        <v>36</v>
      </c>
    </row>
    <row r="543" spans="1:5" x14ac:dyDescent="0.25">
      <c r="A543" s="15" t="s">
        <v>38</v>
      </c>
      <c r="B543" s="17">
        <f t="shared" si="4"/>
        <v>41767</v>
      </c>
      <c r="C543" s="15">
        <v>1</v>
      </c>
      <c r="D543" s="15" t="s">
        <v>333</v>
      </c>
      <c r="E543" s="15">
        <v>1</v>
      </c>
    </row>
    <row r="544" spans="1:5" x14ac:dyDescent="0.25">
      <c r="A544" s="15" t="s">
        <v>38</v>
      </c>
      <c r="B544" s="17">
        <f t="shared" si="4"/>
        <v>41767</v>
      </c>
      <c r="C544" s="15">
        <v>1</v>
      </c>
      <c r="D544" s="15" t="s">
        <v>379</v>
      </c>
      <c r="E544" s="15">
        <v>1</v>
      </c>
    </row>
    <row r="545" spans="1:5" x14ac:dyDescent="0.25">
      <c r="A545" s="15" t="s">
        <v>38</v>
      </c>
      <c r="B545" s="17">
        <f t="shared" si="4"/>
        <v>41767</v>
      </c>
      <c r="C545" s="15">
        <v>2</v>
      </c>
      <c r="D545" s="15" t="s">
        <v>380</v>
      </c>
      <c r="E545" s="15">
        <v>1</v>
      </c>
    </row>
    <row r="546" spans="1:5" x14ac:dyDescent="0.25">
      <c r="A546" s="15" t="s">
        <v>38</v>
      </c>
      <c r="B546" s="17">
        <v>41936</v>
      </c>
      <c r="C546" s="15">
        <v>1</v>
      </c>
      <c r="D546" s="15" t="s">
        <v>324</v>
      </c>
      <c r="E546" s="15">
        <v>1</v>
      </c>
    </row>
    <row r="547" spans="1:5" x14ac:dyDescent="0.25">
      <c r="A547" s="15" t="s">
        <v>38</v>
      </c>
      <c r="B547" s="17">
        <f t="shared" ref="B547:B579" si="5">B546</f>
        <v>41936</v>
      </c>
      <c r="C547" s="15">
        <v>2</v>
      </c>
      <c r="D547" s="15" t="s">
        <v>74</v>
      </c>
      <c r="E547" s="15">
        <v>5</v>
      </c>
    </row>
    <row r="548" spans="1:5" x14ac:dyDescent="0.25">
      <c r="A548" s="15" t="s">
        <v>38</v>
      </c>
      <c r="B548" s="17">
        <f t="shared" si="5"/>
        <v>41936</v>
      </c>
      <c r="C548" s="15">
        <v>1</v>
      </c>
      <c r="D548" s="15" t="s">
        <v>74</v>
      </c>
      <c r="E548" s="15">
        <v>2</v>
      </c>
    </row>
    <row r="549" spans="1:5" x14ac:dyDescent="0.25">
      <c r="A549" s="15" t="s">
        <v>38</v>
      </c>
      <c r="B549" s="17">
        <f t="shared" si="5"/>
        <v>41936</v>
      </c>
      <c r="C549" s="15">
        <v>1</v>
      </c>
      <c r="D549" s="15" t="s">
        <v>97</v>
      </c>
      <c r="E549" s="15">
        <v>2</v>
      </c>
    </row>
    <row r="550" spans="1:5" x14ac:dyDescent="0.25">
      <c r="A550" s="15" t="s">
        <v>38</v>
      </c>
      <c r="B550" s="17">
        <f t="shared" si="5"/>
        <v>41936</v>
      </c>
      <c r="C550" s="15">
        <v>1</v>
      </c>
      <c r="D550" s="15" t="s">
        <v>76</v>
      </c>
      <c r="E550" s="15">
        <v>2</v>
      </c>
    </row>
    <row r="551" spans="1:5" x14ac:dyDescent="0.25">
      <c r="A551" s="15" t="s">
        <v>38</v>
      </c>
      <c r="B551" s="17">
        <f t="shared" si="5"/>
        <v>41936</v>
      </c>
      <c r="C551" s="15">
        <v>2</v>
      </c>
      <c r="D551" s="15" t="s">
        <v>76</v>
      </c>
      <c r="E551" s="15">
        <v>5</v>
      </c>
    </row>
    <row r="552" spans="1:5" x14ac:dyDescent="0.25">
      <c r="A552" s="15" t="s">
        <v>38</v>
      </c>
      <c r="B552" s="17">
        <f t="shared" si="5"/>
        <v>41936</v>
      </c>
      <c r="C552" s="15">
        <v>2</v>
      </c>
      <c r="D552" s="15" t="s">
        <v>325</v>
      </c>
      <c r="E552" s="15">
        <v>1</v>
      </c>
    </row>
    <row r="553" spans="1:5" x14ac:dyDescent="0.25">
      <c r="A553" s="15" t="s">
        <v>38</v>
      </c>
      <c r="B553" s="17">
        <f t="shared" si="5"/>
        <v>41936</v>
      </c>
      <c r="C553" s="15">
        <v>2</v>
      </c>
      <c r="D553" s="15" t="s">
        <v>409</v>
      </c>
      <c r="E553" s="15">
        <v>2</v>
      </c>
    </row>
    <row r="554" spans="1:5" x14ac:dyDescent="0.25">
      <c r="A554" s="15" t="s">
        <v>38</v>
      </c>
      <c r="B554" s="17">
        <f t="shared" si="5"/>
        <v>41936</v>
      </c>
      <c r="C554" s="15">
        <v>1</v>
      </c>
      <c r="D554" s="15" t="s">
        <v>83</v>
      </c>
      <c r="E554" s="15">
        <v>16</v>
      </c>
    </row>
    <row r="555" spans="1:5" x14ac:dyDescent="0.25">
      <c r="A555" s="15" t="s">
        <v>38</v>
      </c>
      <c r="B555" s="17">
        <f t="shared" si="5"/>
        <v>41936</v>
      </c>
      <c r="C555" s="15">
        <v>2</v>
      </c>
      <c r="D555" s="15" t="s">
        <v>83</v>
      </c>
      <c r="E555" s="15">
        <v>17</v>
      </c>
    </row>
    <row r="556" spans="1:5" x14ac:dyDescent="0.25">
      <c r="A556" s="15" t="s">
        <v>38</v>
      </c>
      <c r="B556" s="17">
        <f t="shared" si="5"/>
        <v>41936</v>
      </c>
      <c r="C556" s="15">
        <v>2</v>
      </c>
      <c r="D556" s="15" t="s">
        <v>370</v>
      </c>
      <c r="E556" s="15">
        <v>1</v>
      </c>
    </row>
    <row r="557" spans="1:5" x14ac:dyDescent="0.25">
      <c r="A557" s="15" t="s">
        <v>38</v>
      </c>
      <c r="B557" s="17">
        <f t="shared" si="5"/>
        <v>41936</v>
      </c>
      <c r="C557" s="15">
        <v>1</v>
      </c>
      <c r="D557" s="15" t="s">
        <v>401</v>
      </c>
      <c r="E557" s="15">
        <v>1</v>
      </c>
    </row>
    <row r="558" spans="1:5" x14ac:dyDescent="0.25">
      <c r="A558" s="15" t="s">
        <v>38</v>
      </c>
      <c r="B558" s="17">
        <f t="shared" si="5"/>
        <v>41936</v>
      </c>
      <c r="C558" s="15">
        <v>2</v>
      </c>
      <c r="D558" s="15" t="s">
        <v>401</v>
      </c>
      <c r="E558" s="15">
        <v>2</v>
      </c>
    </row>
    <row r="559" spans="1:5" x14ac:dyDescent="0.25">
      <c r="A559" s="15" t="s">
        <v>38</v>
      </c>
      <c r="B559" s="17">
        <f t="shared" si="5"/>
        <v>41936</v>
      </c>
      <c r="C559" s="15">
        <v>2</v>
      </c>
      <c r="D559" s="15" t="s">
        <v>390</v>
      </c>
      <c r="E559" s="15">
        <v>1</v>
      </c>
    </row>
    <row r="560" spans="1:5" x14ac:dyDescent="0.25">
      <c r="A560" s="15" t="s">
        <v>38</v>
      </c>
      <c r="B560" s="17">
        <f t="shared" si="5"/>
        <v>41936</v>
      </c>
      <c r="C560" s="15">
        <v>1</v>
      </c>
      <c r="D560" s="15" t="s">
        <v>397</v>
      </c>
      <c r="E560" s="15">
        <v>6</v>
      </c>
    </row>
    <row r="561" spans="1:5" x14ac:dyDescent="0.25">
      <c r="A561" s="15" t="s">
        <v>38</v>
      </c>
      <c r="B561" s="17">
        <f t="shared" si="5"/>
        <v>41936</v>
      </c>
      <c r="C561" s="15">
        <v>2</v>
      </c>
      <c r="D561" s="15" t="s">
        <v>410</v>
      </c>
      <c r="E561" s="15">
        <v>10</v>
      </c>
    </row>
    <row r="562" spans="1:5" x14ac:dyDescent="0.25">
      <c r="A562" s="15" t="s">
        <v>38</v>
      </c>
      <c r="B562" s="17">
        <f t="shared" si="5"/>
        <v>41936</v>
      </c>
      <c r="C562" s="15">
        <v>1</v>
      </c>
      <c r="D562" s="15" t="s">
        <v>406</v>
      </c>
      <c r="E562" s="15">
        <v>4</v>
      </c>
    </row>
    <row r="563" spans="1:5" x14ac:dyDescent="0.25">
      <c r="A563" s="15" t="s">
        <v>38</v>
      </c>
      <c r="B563" s="17">
        <f t="shared" si="5"/>
        <v>41936</v>
      </c>
      <c r="C563" s="15">
        <v>2</v>
      </c>
      <c r="D563" s="15" t="s">
        <v>407</v>
      </c>
      <c r="E563" s="15">
        <v>2</v>
      </c>
    </row>
    <row r="564" spans="1:5" x14ac:dyDescent="0.25">
      <c r="A564" s="15" t="s">
        <v>38</v>
      </c>
      <c r="B564" s="17">
        <f t="shared" si="5"/>
        <v>41936</v>
      </c>
      <c r="C564" s="15">
        <v>1</v>
      </c>
      <c r="D564" s="15" t="s">
        <v>386</v>
      </c>
      <c r="E564" s="15">
        <v>2</v>
      </c>
    </row>
    <row r="565" spans="1:5" x14ac:dyDescent="0.25">
      <c r="A565" s="15" t="s">
        <v>38</v>
      </c>
      <c r="B565" s="17">
        <f t="shared" si="5"/>
        <v>41936</v>
      </c>
      <c r="C565" s="15">
        <v>2</v>
      </c>
      <c r="D565" s="15" t="s">
        <v>386</v>
      </c>
      <c r="E565" s="15">
        <v>2</v>
      </c>
    </row>
    <row r="566" spans="1:5" x14ac:dyDescent="0.25">
      <c r="A566" s="15" t="s">
        <v>38</v>
      </c>
      <c r="B566" s="17">
        <f t="shared" si="5"/>
        <v>41936</v>
      </c>
      <c r="C566" s="15">
        <v>1</v>
      </c>
      <c r="D566" s="15" t="s">
        <v>372</v>
      </c>
      <c r="E566" s="15">
        <v>40</v>
      </c>
    </row>
    <row r="567" spans="1:5" x14ac:dyDescent="0.25">
      <c r="A567" s="15" t="s">
        <v>38</v>
      </c>
      <c r="B567" s="17">
        <f t="shared" si="5"/>
        <v>41936</v>
      </c>
      <c r="C567" s="15">
        <v>2</v>
      </c>
      <c r="D567" s="15" t="s">
        <v>372</v>
      </c>
      <c r="E567" s="15">
        <v>28</v>
      </c>
    </row>
    <row r="568" spans="1:5" x14ac:dyDescent="0.25">
      <c r="A568" s="15" t="s">
        <v>38</v>
      </c>
      <c r="B568" s="17">
        <f t="shared" si="5"/>
        <v>41936</v>
      </c>
      <c r="C568" s="15">
        <v>1</v>
      </c>
      <c r="D568" s="15" t="s">
        <v>388</v>
      </c>
      <c r="E568" s="15">
        <v>14</v>
      </c>
    </row>
    <row r="569" spans="1:5" x14ac:dyDescent="0.25">
      <c r="A569" s="15" t="s">
        <v>38</v>
      </c>
      <c r="B569" s="17">
        <f t="shared" si="5"/>
        <v>41936</v>
      </c>
      <c r="C569" s="15">
        <v>2</v>
      </c>
      <c r="D569" s="15" t="s">
        <v>388</v>
      </c>
      <c r="E569" s="15">
        <v>8</v>
      </c>
    </row>
    <row r="570" spans="1:5" x14ac:dyDescent="0.25">
      <c r="A570" s="15" t="s">
        <v>38</v>
      </c>
      <c r="B570" s="17">
        <f t="shared" si="5"/>
        <v>41936</v>
      </c>
      <c r="C570" s="15">
        <v>2</v>
      </c>
      <c r="D570" s="15" t="s">
        <v>351</v>
      </c>
      <c r="E570" s="15">
        <v>1</v>
      </c>
    </row>
    <row r="571" spans="1:5" x14ac:dyDescent="0.25">
      <c r="A571" s="15" t="s">
        <v>38</v>
      </c>
      <c r="B571" s="17">
        <f t="shared" si="5"/>
        <v>41936</v>
      </c>
      <c r="C571" s="15">
        <v>2</v>
      </c>
      <c r="D571" s="15" t="s">
        <v>394</v>
      </c>
      <c r="E571" s="15">
        <v>1</v>
      </c>
    </row>
    <row r="572" spans="1:5" x14ac:dyDescent="0.25">
      <c r="A572" s="15" t="s">
        <v>38</v>
      </c>
      <c r="B572" s="17">
        <f t="shared" si="5"/>
        <v>41936</v>
      </c>
      <c r="C572" s="15">
        <v>1</v>
      </c>
      <c r="D572" s="15" t="s">
        <v>408</v>
      </c>
      <c r="E572" s="15">
        <v>34</v>
      </c>
    </row>
    <row r="573" spans="1:5" x14ac:dyDescent="0.25">
      <c r="A573" s="15" t="s">
        <v>38</v>
      </c>
      <c r="B573" s="17">
        <f t="shared" si="5"/>
        <v>41936</v>
      </c>
      <c r="C573" s="15">
        <v>2</v>
      </c>
      <c r="D573" s="15" t="s">
        <v>408</v>
      </c>
      <c r="E573" s="15">
        <v>41</v>
      </c>
    </row>
    <row r="574" spans="1:5" x14ac:dyDescent="0.25">
      <c r="A574" s="15" t="s">
        <v>38</v>
      </c>
      <c r="B574" s="17">
        <f t="shared" si="5"/>
        <v>41936</v>
      </c>
      <c r="C574" s="15">
        <v>2</v>
      </c>
      <c r="D574" s="15" t="s">
        <v>332</v>
      </c>
      <c r="E574" s="15">
        <v>1</v>
      </c>
    </row>
    <row r="575" spans="1:5" x14ac:dyDescent="0.25">
      <c r="A575" s="15" t="s">
        <v>38</v>
      </c>
      <c r="B575" s="17">
        <f t="shared" si="5"/>
        <v>41936</v>
      </c>
      <c r="C575" s="15">
        <v>1</v>
      </c>
      <c r="D575" s="15" t="s">
        <v>66</v>
      </c>
      <c r="E575" s="15">
        <v>12</v>
      </c>
    </row>
    <row r="576" spans="1:5" x14ac:dyDescent="0.25">
      <c r="A576" s="15" t="s">
        <v>38</v>
      </c>
      <c r="B576" s="17">
        <f t="shared" si="5"/>
        <v>41936</v>
      </c>
      <c r="C576" s="15">
        <v>2</v>
      </c>
      <c r="D576" s="15" t="s">
        <v>66</v>
      </c>
      <c r="E576" s="15">
        <v>14</v>
      </c>
    </row>
    <row r="577" spans="1:5" x14ac:dyDescent="0.25">
      <c r="A577" s="15" t="s">
        <v>38</v>
      </c>
      <c r="B577" s="17">
        <f t="shared" si="5"/>
        <v>41936</v>
      </c>
      <c r="C577" s="15">
        <v>1</v>
      </c>
      <c r="D577" s="15" t="s">
        <v>333</v>
      </c>
      <c r="E577" s="15">
        <v>6</v>
      </c>
    </row>
    <row r="578" spans="1:5" x14ac:dyDescent="0.25">
      <c r="A578" s="15" t="s">
        <v>38</v>
      </c>
      <c r="B578" s="17">
        <f t="shared" si="5"/>
        <v>41936</v>
      </c>
      <c r="C578" s="15">
        <v>2</v>
      </c>
      <c r="D578" s="15" t="s">
        <v>333</v>
      </c>
      <c r="E578" s="15">
        <v>9</v>
      </c>
    </row>
    <row r="579" spans="1:5" x14ac:dyDescent="0.25">
      <c r="A579" s="15" t="s">
        <v>38</v>
      </c>
      <c r="B579" s="17">
        <f t="shared" si="5"/>
        <v>41936</v>
      </c>
      <c r="C579" s="15">
        <v>1</v>
      </c>
      <c r="D579" s="15" t="s">
        <v>334</v>
      </c>
      <c r="E579" s="15">
        <v>1</v>
      </c>
    </row>
    <row r="580" spans="1:5" x14ac:dyDescent="0.25">
      <c r="A580" s="15" t="s">
        <v>59</v>
      </c>
      <c r="B580" s="17">
        <v>42101</v>
      </c>
      <c r="C580" s="15">
        <v>2</v>
      </c>
      <c r="D580" s="15" t="s">
        <v>97</v>
      </c>
      <c r="E580" s="15">
        <v>1</v>
      </c>
    </row>
    <row r="581" spans="1:5" x14ac:dyDescent="0.25">
      <c r="A581" s="15" t="s">
        <v>59</v>
      </c>
      <c r="B581" s="17">
        <f t="shared" ref="B581:B626" si="6">B580</f>
        <v>42101</v>
      </c>
      <c r="C581" s="15">
        <v>1</v>
      </c>
      <c r="D581" s="15" t="s">
        <v>365</v>
      </c>
      <c r="E581" s="15">
        <v>1</v>
      </c>
    </row>
    <row r="582" spans="1:5" x14ac:dyDescent="0.25">
      <c r="A582" s="15" t="s">
        <v>59</v>
      </c>
      <c r="B582" s="17">
        <f t="shared" si="6"/>
        <v>42101</v>
      </c>
      <c r="C582" s="15">
        <v>1</v>
      </c>
      <c r="D582" s="15" t="s">
        <v>411</v>
      </c>
      <c r="E582" s="15">
        <v>1</v>
      </c>
    </row>
    <row r="583" spans="1:5" x14ac:dyDescent="0.25">
      <c r="A583" s="15" t="s">
        <v>59</v>
      </c>
      <c r="B583" s="17">
        <f t="shared" si="6"/>
        <v>42101</v>
      </c>
      <c r="C583" s="15">
        <v>2</v>
      </c>
      <c r="D583" s="15" t="s">
        <v>411</v>
      </c>
      <c r="E583" s="15">
        <v>3</v>
      </c>
    </row>
    <row r="584" spans="1:5" x14ac:dyDescent="0.25">
      <c r="A584" s="15" t="s">
        <v>59</v>
      </c>
      <c r="B584" s="17">
        <f t="shared" si="6"/>
        <v>42101</v>
      </c>
      <c r="C584" s="15">
        <v>2</v>
      </c>
      <c r="D584" s="15" t="s">
        <v>337</v>
      </c>
      <c r="E584" s="15">
        <v>3</v>
      </c>
    </row>
    <row r="585" spans="1:5" x14ac:dyDescent="0.25">
      <c r="A585" s="15" t="s">
        <v>59</v>
      </c>
      <c r="B585" s="17">
        <f t="shared" si="6"/>
        <v>42101</v>
      </c>
      <c r="C585" s="15">
        <v>1</v>
      </c>
      <c r="D585" s="15" t="s">
        <v>325</v>
      </c>
      <c r="E585" s="15">
        <v>1</v>
      </c>
    </row>
    <row r="586" spans="1:5" x14ac:dyDescent="0.25">
      <c r="A586" s="15" t="s">
        <v>59</v>
      </c>
      <c r="B586" s="17">
        <f t="shared" si="6"/>
        <v>42101</v>
      </c>
      <c r="C586" s="15">
        <v>2</v>
      </c>
      <c r="D586" s="15" t="s">
        <v>325</v>
      </c>
      <c r="E586" s="15">
        <v>1</v>
      </c>
    </row>
    <row r="587" spans="1:5" x14ac:dyDescent="0.25">
      <c r="A587" s="15" t="s">
        <v>59</v>
      </c>
      <c r="B587" s="17">
        <f t="shared" si="6"/>
        <v>42101</v>
      </c>
      <c r="C587" s="15">
        <v>2</v>
      </c>
      <c r="D587" s="15" t="s">
        <v>412</v>
      </c>
      <c r="E587" s="15">
        <v>1</v>
      </c>
    </row>
    <row r="588" spans="1:5" x14ac:dyDescent="0.25">
      <c r="A588" s="15" t="s">
        <v>59</v>
      </c>
      <c r="B588" s="17">
        <f t="shared" si="6"/>
        <v>42101</v>
      </c>
      <c r="C588" s="15">
        <v>2</v>
      </c>
      <c r="D588" s="15" t="s">
        <v>413</v>
      </c>
      <c r="E588" s="15">
        <v>1</v>
      </c>
    </row>
    <row r="589" spans="1:5" x14ac:dyDescent="0.25">
      <c r="A589" s="15" t="s">
        <v>59</v>
      </c>
      <c r="B589" s="17">
        <f t="shared" si="6"/>
        <v>42101</v>
      </c>
      <c r="C589" s="15">
        <v>1</v>
      </c>
      <c r="D589" s="15" t="s">
        <v>81</v>
      </c>
      <c r="E589" s="15">
        <v>1</v>
      </c>
    </row>
    <row r="590" spans="1:5" x14ac:dyDescent="0.25">
      <c r="A590" s="15" t="s">
        <v>59</v>
      </c>
      <c r="B590" s="17">
        <f t="shared" si="6"/>
        <v>42101</v>
      </c>
      <c r="C590" s="15">
        <v>2</v>
      </c>
      <c r="D590" s="15" t="s">
        <v>81</v>
      </c>
      <c r="E590" s="15">
        <v>2</v>
      </c>
    </row>
    <row r="591" spans="1:5" x14ac:dyDescent="0.25">
      <c r="A591" s="15" t="s">
        <v>59</v>
      </c>
      <c r="B591" s="17">
        <f t="shared" si="6"/>
        <v>42101</v>
      </c>
      <c r="C591" s="15">
        <v>1</v>
      </c>
      <c r="D591" s="15" t="s">
        <v>414</v>
      </c>
      <c r="E591" s="15">
        <v>2</v>
      </c>
    </row>
    <row r="592" spans="1:5" x14ac:dyDescent="0.25">
      <c r="A592" s="15" t="s">
        <v>59</v>
      </c>
      <c r="B592" s="17">
        <f t="shared" si="6"/>
        <v>42101</v>
      </c>
      <c r="C592" s="15">
        <v>2</v>
      </c>
      <c r="D592" s="15" t="s">
        <v>414</v>
      </c>
      <c r="E592" s="15">
        <v>1</v>
      </c>
    </row>
    <row r="593" spans="1:5" x14ac:dyDescent="0.25">
      <c r="A593" s="15" t="s">
        <v>59</v>
      </c>
      <c r="B593" s="17">
        <f t="shared" si="6"/>
        <v>42101</v>
      </c>
      <c r="C593" s="15">
        <v>1</v>
      </c>
      <c r="D593" s="15" t="s">
        <v>82</v>
      </c>
      <c r="E593" s="15">
        <v>3</v>
      </c>
    </row>
    <row r="594" spans="1:5" x14ac:dyDescent="0.25">
      <c r="A594" s="15" t="s">
        <v>59</v>
      </c>
      <c r="B594" s="17">
        <f t="shared" si="6"/>
        <v>42101</v>
      </c>
      <c r="C594" s="15">
        <v>2</v>
      </c>
      <c r="D594" s="15" t="s">
        <v>82</v>
      </c>
      <c r="E594" s="15">
        <v>3</v>
      </c>
    </row>
    <row r="595" spans="1:5" x14ac:dyDescent="0.25">
      <c r="A595" s="15" t="s">
        <v>59</v>
      </c>
      <c r="B595" s="17">
        <f t="shared" si="6"/>
        <v>42101</v>
      </c>
      <c r="C595" s="15">
        <v>1</v>
      </c>
      <c r="D595" s="15" t="s">
        <v>415</v>
      </c>
      <c r="E595" s="15">
        <v>7</v>
      </c>
    </row>
    <row r="596" spans="1:5" x14ac:dyDescent="0.25">
      <c r="A596" s="15" t="s">
        <v>59</v>
      </c>
      <c r="B596" s="17">
        <f t="shared" si="6"/>
        <v>42101</v>
      </c>
      <c r="C596" s="15">
        <v>2</v>
      </c>
      <c r="D596" s="15" t="s">
        <v>415</v>
      </c>
      <c r="E596" s="15">
        <v>7</v>
      </c>
    </row>
    <row r="597" spans="1:5" x14ac:dyDescent="0.25">
      <c r="A597" s="15" t="s">
        <v>59</v>
      </c>
      <c r="B597" s="17">
        <f t="shared" si="6"/>
        <v>42101</v>
      </c>
      <c r="C597" s="15">
        <v>1</v>
      </c>
      <c r="D597" s="15" t="s">
        <v>416</v>
      </c>
      <c r="E597" s="15">
        <v>4</v>
      </c>
    </row>
    <row r="598" spans="1:5" x14ac:dyDescent="0.25">
      <c r="A598" s="15" t="s">
        <v>59</v>
      </c>
      <c r="B598" s="17">
        <f t="shared" si="6"/>
        <v>42101</v>
      </c>
      <c r="C598" s="15">
        <v>2</v>
      </c>
      <c r="D598" s="15" t="s">
        <v>416</v>
      </c>
      <c r="E598" s="15">
        <v>1</v>
      </c>
    </row>
    <row r="599" spans="1:5" x14ac:dyDescent="0.25">
      <c r="A599" s="15" t="s">
        <v>59</v>
      </c>
      <c r="B599" s="17">
        <f t="shared" si="6"/>
        <v>42101</v>
      </c>
      <c r="C599" s="15">
        <v>1</v>
      </c>
      <c r="D599" s="15" t="s">
        <v>417</v>
      </c>
      <c r="E599" s="15">
        <v>3</v>
      </c>
    </row>
    <row r="600" spans="1:5" x14ac:dyDescent="0.25">
      <c r="A600" s="15" t="s">
        <v>59</v>
      </c>
      <c r="B600" s="17">
        <f t="shared" si="6"/>
        <v>42101</v>
      </c>
      <c r="C600" s="15">
        <v>2</v>
      </c>
      <c r="D600" s="15" t="s">
        <v>417</v>
      </c>
      <c r="E600" s="15">
        <v>2</v>
      </c>
    </row>
    <row r="601" spans="1:5" x14ac:dyDescent="0.25">
      <c r="A601" s="15" t="s">
        <v>59</v>
      </c>
      <c r="B601" s="17">
        <f t="shared" si="6"/>
        <v>42101</v>
      </c>
      <c r="C601" s="15">
        <v>1</v>
      </c>
      <c r="D601" s="15" t="s">
        <v>390</v>
      </c>
      <c r="E601" s="15">
        <v>31</v>
      </c>
    </row>
    <row r="602" spans="1:5" x14ac:dyDescent="0.25">
      <c r="A602" s="15" t="s">
        <v>59</v>
      </c>
      <c r="B602" s="17">
        <f t="shared" si="6"/>
        <v>42101</v>
      </c>
      <c r="C602" s="15">
        <v>2</v>
      </c>
      <c r="D602" s="15" t="s">
        <v>390</v>
      </c>
      <c r="E602" s="15">
        <v>23</v>
      </c>
    </row>
    <row r="603" spans="1:5" x14ac:dyDescent="0.25">
      <c r="A603" s="15" t="s">
        <v>59</v>
      </c>
      <c r="B603" s="17">
        <f t="shared" si="6"/>
        <v>42101</v>
      </c>
      <c r="C603" s="15">
        <v>1</v>
      </c>
      <c r="D603" s="15" t="s">
        <v>377</v>
      </c>
      <c r="E603" s="15">
        <v>1</v>
      </c>
    </row>
    <row r="604" spans="1:5" x14ac:dyDescent="0.25">
      <c r="A604" s="15" t="s">
        <v>59</v>
      </c>
      <c r="B604" s="17">
        <f t="shared" si="6"/>
        <v>42101</v>
      </c>
      <c r="C604" s="15">
        <v>2</v>
      </c>
      <c r="D604" s="15" t="s">
        <v>377</v>
      </c>
      <c r="E604" s="15">
        <v>1</v>
      </c>
    </row>
    <row r="605" spans="1:5" x14ac:dyDescent="0.25">
      <c r="A605" s="15" t="s">
        <v>59</v>
      </c>
      <c r="B605" s="17">
        <f t="shared" si="6"/>
        <v>42101</v>
      </c>
      <c r="C605" s="15">
        <v>2</v>
      </c>
      <c r="D605" s="15" t="s">
        <v>418</v>
      </c>
      <c r="E605" s="15">
        <v>1</v>
      </c>
    </row>
    <row r="606" spans="1:5" x14ac:dyDescent="0.25">
      <c r="A606" s="15" t="s">
        <v>59</v>
      </c>
      <c r="B606" s="17">
        <f t="shared" si="6"/>
        <v>42101</v>
      </c>
      <c r="C606" s="15">
        <v>2</v>
      </c>
      <c r="D606" s="15" t="s">
        <v>419</v>
      </c>
      <c r="E606" s="15">
        <v>1</v>
      </c>
    </row>
    <row r="607" spans="1:5" x14ac:dyDescent="0.25">
      <c r="A607" s="15" t="s">
        <v>59</v>
      </c>
      <c r="B607" s="17">
        <f t="shared" si="6"/>
        <v>42101</v>
      </c>
      <c r="C607" s="15">
        <v>1</v>
      </c>
      <c r="D607" s="15" t="s">
        <v>384</v>
      </c>
      <c r="E607" s="15">
        <v>3</v>
      </c>
    </row>
    <row r="608" spans="1:5" x14ac:dyDescent="0.25">
      <c r="A608" s="15" t="s">
        <v>59</v>
      </c>
      <c r="B608" s="17">
        <f t="shared" si="6"/>
        <v>42101</v>
      </c>
      <c r="C608" s="15">
        <v>2</v>
      </c>
      <c r="D608" s="15" t="s">
        <v>384</v>
      </c>
      <c r="E608" s="15">
        <v>3</v>
      </c>
    </row>
    <row r="609" spans="1:5" x14ac:dyDescent="0.25">
      <c r="A609" s="15" t="s">
        <v>59</v>
      </c>
      <c r="B609" s="17">
        <f t="shared" si="6"/>
        <v>42101</v>
      </c>
      <c r="C609" s="15">
        <v>1</v>
      </c>
      <c r="D609" s="15" t="s">
        <v>403</v>
      </c>
      <c r="E609" s="15">
        <v>1</v>
      </c>
    </row>
    <row r="610" spans="1:5" x14ac:dyDescent="0.25">
      <c r="A610" s="15" t="s">
        <v>59</v>
      </c>
      <c r="B610" s="17">
        <f t="shared" si="6"/>
        <v>42101</v>
      </c>
      <c r="C610" s="15">
        <v>2</v>
      </c>
      <c r="D610" s="15" t="s">
        <v>403</v>
      </c>
      <c r="E610" s="15">
        <v>1</v>
      </c>
    </row>
    <row r="611" spans="1:5" x14ac:dyDescent="0.25">
      <c r="A611" s="15" t="s">
        <v>59</v>
      </c>
      <c r="B611" s="17">
        <f t="shared" si="6"/>
        <v>42101</v>
      </c>
      <c r="C611" s="15">
        <v>1</v>
      </c>
      <c r="D611" s="15" t="s">
        <v>385</v>
      </c>
      <c r="E611" s="15">
        <v>4</v>
      </c>
    </row>
    <row r="612" spans="1:5" x14ac:dyDescent="0.25">
      <c r="A612" s="15" t="s">
        <v>59</v>
      </c>
      <c r="B612" s="17">
        <f t="shared" si="6"/>
        <v>42101</v>
      </c>
      <c r="C612" s="15">
        <v>2</v>
      </c>
      <c r="D612" s="15" t="s">
        <v>385</v>
      </c>
      <c r="E612" s="15">
        <v>2</v>
      </c>
    </row>
    <row r="613" spans="1:5" x14ac:dyDescent="0.25">
      <c r="A613" s="15" t="s">
        <v>59</v>
      </c>
      <c r="B613" s="17">
        <f t="shared" si="6"/>
        <v>42101</v>
      </c>
      <c r="C613" s="15">
        <v>2</v>
      </c>
      <c r="D613" s="15" t="s">
        <v>420</v>
      </c>
      <c r="E613" s="15">
        <v>1</v>
      </c>
    </row>
    <row r="614" spans="1:5" x14ac:dyDescent="0.25">
      <c r="A614" s="15" t="s">
        <v>59</v>
      </c>
      <c r="B614" s="17">
        <f t="shared" si="6"/>
        <v>42101</v>
      </c>
      <c r="C614" s="15">
        <v>1</v>
      </c>
      <c r="D614" s="15" t="s">
        <v>421</v>
      </c>
      <c r="E614" s="15">
        <v>6</v>
      </c>
    </row>
    <row r="615" spans="1:5" x14ac:dyDescent="0.25">
      <c r="A615" s="15" t="s">
        <v>59</v>
      </c>
      <c r="B615" s="17">
        <f t="shared" si="6"/>
        <v>42101</v>
      </c>
      <c r="C615" s="15">
        <v>2</v>
      </c>
      <c r="D615" s="15" t="s">
        <v>421</v>
      </c>
      <c r="E615" s="15">
        <v>14</v>
      </c>
    </row>
    <row r="616" spans="1:5" x14ac:dyDescent="0.25">
      <c r="A616" s="15" t="s">
        <v>59</v>
      </c>
      <c r="B616" s="17">
        <f t="shared" si="6"/>
        <v>42101</v>
      </c>
      <c r="C616" s="15">
        <v>1</v>
      </c>
      <c r="D616" s="15" t="s">
        <v>422</v>
      </c>
      <c r="E616" s="15">
        <v>1</v>
      </c>
    </row>
    <row r="617" spans="1:5" x14ac:dyDescent="0.25">
      <c r="A617" s="15" t="s">
        <v>59</v>
      </c>
      <c r="B617" s="17">
        <f t="shared" si="6"/>
        <v>42101</v>
      </c>
      <c r="C617" s="15">
        <v>2</v>
      </c>
      <c r="D617" s="15" t="s">
        <v>422</v>
      </c>
      <c r="E617" s="15">
        <v>4</v>
      </c>
    </row>
    <row r="618" spans="1:5" x14ac:dyDescent="0.25">
      <c r="A618" s="15" t="s">
        <v>59</v>
      </c>
      <c r="B618" s="17">
        <f t="shared" si="6"/>
        <v>42101</v>
      </c>
      <c r="C618" s="15">
        <v>1</v>
      </c>
      <c r="D618" s="15" t="s">
        <v>423</v>
      </c>
      <c r="E618" s="15">
        <v>38</v>
      </c>
    </row>
    <row r="619" spans="1:5" x14ac:dyDescent="0.25">
      <c r="A619" s="15" t="s">
        <v>59</v>
      </c>
      <c r="B619" s="17">
        <f t="shared" si="6"/>
        <v>42101</v>
      </c>
      <c r="C619" s="15">
        <v>2</v>
      </c>
      <c r="D619" s="15" t="s">
        <v>423</v>
      </c>
      <c r="E619" s="15">
        <v>24</v>
      </c>
    </row>
    <row r="620" spans="1:5" x14ac:dyDescent="0.25">
      <c r="A620" s="15" t="s">
        <v>59</v>
      </c>
      <c r="B620" s="17">
        <f t="shared" si="6"/>
        <v>42101</v>
      </c>
      <c r="C620" s="15">
        <v>2</v>
      </c>
      <c r="D620" s="15" t="s">
        <v>66</v>
      </c>
      <c r="E620" s="15">
        <v>1</v>
      </c>
    </row>
    <row r="621" spans="1:5" x14ac:dyDescent="0.25">
      <c r="A621" s="15" t="s">
        <v>59</v>
      </c>
      <c r="B621" s="17">
        <f t="shared" si="6"/>
        <v>42101</v>
      </c>
      <c r="C621" s="15">
        <v>1</v>
      </c>
      <c r="D621" s="15" t="s">
        <v>333</v>
      </c>
      <c r="E621" s="15">
        <v>25</v>
      </c>
    </row>
    <row r="622" spans="1:5" x14ac:dyDescent="0.25">
      <c r="A622" s="15" t="s">
        <v>59</v>
      </c>
      <c r="B622" s="17">
        <f t="shared" si="6"/>
        <v>42101</v>
      </c>
      <c r="C622" s="15">
        <v>2</v>
      </c>
      <c r="D622" s="15" t="s">
        <v>333</v>
      </c>
      <c r="E622" s="15">
        <v>25</v>
      </c>
    </row>
    <row r="623" spans="1:5" x14ac:dyDescent="0.25">
      <c r="A623" s="15" t="s">
        <v>59</v>
      </c>
      <c r="B623" s="17">
        <f t="shared" si="6"/>
        <v>42101</v>
      </c>
      <c r="C623" s="15">
        <v>1</v>
      </c>
      <c r="D623" s="15" t="s">
        <v>424</v>
      </c>
      <c r="E623" s="15">
        <v>12</v>
      </c>
    </row>
    <row r="624" spans="1:5" x14ac:dyDescent="0.25">
      <c r="A624" s="15" t="s">
        <v>59</v>
      </c>
      <c r="B624" s="17">
        <f t="shared" si="6"/>
        <v>42101</v>
      </c>
      <c r="C624" s="15">
        <v>2</v>
      </c>
      <c r="D624" s="15" t="s">
        <v>424</v>
      </c>
      <c r="E624" s="15">
        <v>12</v>
      </c>
    </row>
    <row r="625" spans="1:5" x14ac:dyDescent="0.25">
      <c r="A625" s="15" t="s">
        <v>59</v>
      </c>
      <c r="B625" s="17">
        <f t="shared" si="6"/>
        <v>42101</v>
      </c>
      <c r="C625" s="15">
        <v>2</v>
      </c>
      <c r="D625" s="15" t="s">
        <v>425</v>
      </c>
      <c r="E625" s="15">
        <v>1</v>
      </c>
    </row>
    <row r="626" spans="1:5" x14ac:dyDescent="0.25">
      <c r="A626" s="15" t="s">
        <v>59</v>
      </c>
      <c r="B626" s="17">
        <f t="shared" si="6"/>
        <v>42101</v>
      </c>
      <c r="C626" s="15">
        <v>1</v>
      </c>
      <c r="D626" s="15" t="s">
        <v>426</v>
      </c>
      <c r="E626" s="15">
        <v>2</v>
      </c>
    </row>
    <row r="627" spans="1:5" x14ac:dyDescent="0.25">
      <c r="A627" s="15" t="s">
        <v>42</v>
      </c>
      <c r="B627" s="17">
        <v>41967</v>
      </c>
      <c r="C627" s="15">
        <v>1</v>
      </c>
      <c r="D627" s="15" t="s">
        <v>74</v>
      </c>
      <c r="E627" s="15">
        <v>4</v>
      </c>
    </row>
    <row r="628" spans="1:5" x14ac:dyDescent="0.25">
      <c r="A628" s="15" t="s">
        <v>42</v>
      </c>
      <c r="B628" s="17">
        <f t="shared" ref="B628:B666" si="7">B627</f>
        <v>41967</v>
      </c>
      <c r="C628" s="15">
        <v>2</v>
      </c>
      <c r="D628" s="15" t="s">
        <v>74</v>
      </c>
      <c r="E628" s="15">
        <v>4</v>
      </c>
    </row>
    <row r="629" spans="1:5" x14ac:dyDescent="0.25">
      <c r="A629" s="15" t="s">
        <v>42</v>
      </c>
      <c r="B629" s="17">
        <f t="shared" si="7"/>
        <v>41967</v>
      </c>
      <c r="C629" s="15">
        <v>2</v>
      </c>
      <c r="D629" s="15" t="s">
        <v>97</v>
      </c>
      <c r="E629" s="15">
        <v>1</v>
      </c>
    </row>
    <row r="630" spans="1:5" x14ac:dyDescent="0.25">
      <c r="A630" s="15" t="s">
        <v>42</v>
      </c>
      <c r="B630" s="17">
        <f t="shared" si="7"/>
        <v>41967</v>
      </c>
      <c r="C630" s="15">
        <v>1</v>
      </c>
      <c r="D630" s="15" t="s">
        <v>76</v>
      </c>
      <c r="E630" s="15">
        <v>7</v>
      </c>
    </row>
    <row r="631" spans="1:5" x14ac:dyDescent="0.25">
      <c r="A631" s="15" t="s">
        <v>42</v>
      </c>
      <c r="B631" s="17">
        <f t="shared" si="7"/>
        <v>41967</v>
      </c>
      <c r="C631" s="15">
        <v>2</v>
      </c>
      <c r="D631" s="15" t="s">
        <v>337</v>
      </c>
      <c r="E631" s="15">
        <v>1</v>
      </c>
    </row>
    <row r="632" spans="1:5" x14ac:dyDescent="0.25">
      <c r="A632" s="15" t="s">
        <v>42</v>
      </c>
      <c r="B632" s="17">
        <f t="shared" si="7"/>
        <v>41967</v>
      </c>
      <c r="C632" s="15">
        <v>1</v>
      </c>
      <c r="D632" s="15" t="s">
        <v>325</v>
      </c>
      <c r="E632" s="15">
        <v>3</v>
      </c>
    </row>
    <row r="633" spans="1:5" x14ac:dyDescent="0.25">
      <c r="A633" s="15" t="s">
        <v>42</v>
      </c>
      <c r="B633" s="17">
        <f t="shared" si="7"/>
        <v>41967</v>
      </c>
      <c r="C633" s="15">
        <v>2</v>
      </c>
      <c r="D633" s="15" t="s">
        <v>325</v>
      </c>
      <c r="E633" s="15">
        <v>2</v>
      </c>
    </row>
    <row r="634" spans="1:5" x14ac:dyDescent="0.25">
      <c r="A634" s="15" t="s">
        <v>42</v>
      </c>
      <c r="B634" s="17">
        <f t="shared" si="7"/>
        <v>41967</v>
      </c>
      <c r="C634" s="15">
        <v>1</v>
      </c>
      <c r="D634" s="15" t="s">
        <v>427</v>
      </c>
      <c r="E634" s="15">
        <v>1</v>
      </c>
    </row>
    <row r="635" spans="1:5" x14ac:dyDescent="0.25">
      <c r="A635" s="15" t="s">
        <v>42</v>
      </c>
      <c r="B635" s="17">
        <f t="shared" si="7"/>
        <v>41967</v>
      </c>
      <c r="C635" s="15">
        <v>1</v>
      </c>
      <c r="D635" s="15" t="s">
        <v>428</v>
      </c>
      <c r="E635" s="15">
        <v>1</v>
      </c>
    </row>
    <row r="636" spans="1:5" x14ac:dyDescent="0.25">
      <c r="A636" s="15" t="s">
        <v>42</v>
      </c>
      <c r="B636" s="17">
        <f t="shared" si="7"/>
        <v>41967</v>
      </c>
      <c r="C636" s="15">
        <v>1</v>
      </c>
      <c r="D636" s="15" t="s">
        <v>429</v>
      </c>
      <c r="E636" s="15">
        <v>1</v>
      </c>
    </row>
    <row r="637" spans="1:5" x14ac:dyDescent="0.25">
      <c r="A637" s="15" t="s">
        <v>42</v>
      </c>
      <c r="B637" s="17">
        <f t="shared" si="7"/>
        <v>41967</v>
      </c>
      <c r="C637" s="15">
        <v>1</v>
      </c>
      <c r="D637" s="15" t="s">
        <v>82</v>
      </c>
      <c r="E637" s="15">
        <v>3</v>
      </c>
    </row>
    <row r="638" spans="1:5" x14ac:dyDescent="0.25">
      <c r="A638" s="15" t="s">
        <v>42</v>
      </c>
      <c r="B638" s="17">
        <f t="shared" si="7"/>
        <v>41967</v>
      </c>
      <c r="C638" s="15">
        <v>1</v>
      </c>
      <c r="D638" s="15" t="s">
        <v>83</v>
      </c>
      <c r="E638" s="15">
        <v>37</v>
      </c>
    </row>
    <row r="639" spans="1:5" x14ac:dyDescent="0.25">
      <c r="A639" s="15" t="s">
        <v>42</v>
      </c>
      <c r="B639" s="17">
        <f t="shared" si="7"/>
        <v>41967</v>
      </c>
      <c r="C639" s="15">
        <v>2</v>
      </c>
      <c r="D639" s="15" t="s">
        <v>83</v>
      </c>
      <c r="E639" s="15">
        <v>30</v>
      </c>
    </row>
    <row r="640" spans="1:5" x14ac:dyDescent="0.25">
      <c r="A640" s="15" t="s">
        <v>42</v>
      </c>
      <c r="B640" s="17">
        <f t="shared" si="7"/>
        <v>41967</v>
      </c>
      <c r="C640" s="15">
        <v>2</v>
      </c>
      <c r="D640" s="15" t="s">
        <v>430</v>
      </c>
      <c r="E640" s="15">
        <v>1</v>
      </c>
    </row>
    <row r="641" spans="1:5" x14ac:dyDescent="0.25">
      <c r="A641" s="15" t="s">
        <v>42</v>
      </c>
      <c r="B641" s="17">
        <f t="shared" si="7"/>
        <v>41967</v>
      </c>
      <c r="C641" s="15">
        <v>1</v>
      </c>
      <c r="D641" s="15" t="s">
        <v>431</v>
      </c>
      <c r="E641" s="15">
        <v>2</v>
      </c>
    </row>
    <row r="642" spans="1:5" x14ac:dyDescent="0.25">
      <c r="A642" s="15" t="s">
        <v>42</v>
      </c>
      <c r="B642" s="17">
        <f t="shared" si="7"/>
        <v>41967</v>
      </c>
      <c r="C642" s="15">
        <v>2</v>
      </c>
      <c r="D642" s="15" t="s">
        <v>432</v>
      </c>
      <c r="E642" s="15">
        <v>1</v>
      </c>
    </row>
    <row r="643" spans="1:5" x14ac:dyDescent="0.25">
      <c r="A643" s="15" t="s">
        <v>42</v>
      </c>
      <c r="B643" s="17">
        <f t="shared" si="7"/>
        <v>41967</v>
      </c>
      <c r="C643" s="15">
        <v>1</v>
      </c>
      <c r="D643" s="15" t="s">
        <v>390</v>
      </c>
      <c r="E643" s="15">
        <v>4</v>
      </c>
    </row>
    <row r="644" spans="1:5" x14ac:dyDescent="0.25">
      <c r="A644" s="15" t="s">
        <v>42</v>
      </c>
      <c r="B644" s="17">
        <f t="shared" si="7"/>
        <v>41967</v>
      </c>
      <c r="C644" s="15">
        <v>2</v>
      </c>
      <c r="D644" s="15" t="s">
        <v>390</v>
      </c>
      <c r="E644" s="15">
        <v>4</v>
      </c>
    </row>
    <row r="645" spans="1:5" x14ac:dyDescent="0.25">
      <c r="A645" s="15" t="s">
        <v>42</v>
      </c>
      <c r="B645" s="17">
        <f t="shared" si="7"/>
        <v>41967</v>
      </c>
      <c r="C645" s="15">
        <v>1</v>
      </c>
      <c r="D645" s="15" t="s">
        <v>384</v>
      </c>
      <c r="E645" s="15">
        <v>13</v>
      </c>
    </row>
    <row r="646" spans="1:5" x14ac:dyDescent="0.25">
      <c r="A646" s="15" t="s">
        <v>42</v>
      </c>
      <c r="B646" s="17">
        <f t="shared" si="7"/>
        <v>41967</v>
      </c>
      <c r="C646" s="15">
        <v>2</v>
      </c>
      <c r="D646" s="15" t="s">
        <v>384</v>
      </c>
      <c r="E646" s="15">
        <v>13</v>
      </c>
    </row>
    <row r="647" spans="1:5" x14ac:dyDescent="0.25">
      <c r="A647" s="15" t="s">
        <v>42</v>
      </c>
      <c r="B647" s="17">
        <f t="shared" si="7"/>
        <v>41967</v>
      </c>
      <c r="C647" s="15">
        <v>2</v>
      </c>
      <c r="D647" s="15" t="s">
        <v>403</v>
      </c>
      <c r="E647" s="15">
        <v>2</v>
      </c>
    </row>
    <row r="648" spans="1:5" x14ac:dyDescent="0.25">
      <c r="A648" s="15" t="s">
        <v>42</v>
      </c>
      <c r="B648" s="17">
        <f t="shared" si="7"/>
        <v>41967</v>
      </c>
      <c r="C648" s="15">
        <v>1</v>
      </c>
      <c r="D648" s="15" t="s">
        <v>385</v>
      </c>
      <c r="E648" s="15">
        <v>3</v>
      </c>
    </row>
    <row r="649" spans="1:5" x14ac:dyDescent="0.25">
      <c r="A649" s="15" t="s">
        <v>42</v>
      </c>
      <c r="B649" s="17">
        <f t="shared" si="7"/>
        <v>41967</v>
      </c>
      <c r="C649" s="15">
        <v>2</v>
      </c>
      <c r="D649" s="15" t="s">
        <v>385</v>
      </c>
      <c r="E649" s="15">
        <v>2</v>
      </c>
    </row>
    <row r="650" spans="1:5" x14ac:dyDescent="0.25">
      <c r="A650" s="15" t="s">
        <v>42</v>
      </c>
      <c r="B650" s="17">
        <f t="shared" si="7"/>
        <v>41967</v>
      </c>
      <c r="C650" s="15">
        <v>1</v>
      </c>
      <c r="D650" s="15" t="s">
        <v>372</v>
      </c>
      <c r="E650" s="15">
        <v>27</v>
      </c>
    </row>
    <row r="651" spans="1:5" x14ac:dyDescent="0.25">
      <c r="A651" s="15" t="s">
        <v>42</v>
      </c>
      <c r="B651" s="17">
        <f t="shared" si="7"/>
        <v>41967</v>
      </c>
      <c r="C651" s="15">
        <v>2</v>
      </c>
      <c r="D651" s="15" t="s">
        <v>372</v>
      </c>
      <c r="E651" s="15">
        <v>46</v>
      </c>
    </row>
    <row r="652" spans="1:5" x14ac:dyDescent="0.25">
      <c r="A652" s="15" t="s">
        <v>42</v>
      </c>
      <c r="B652" s="17">
        <f t="shared" si="7"/>
        <v>41967</v>
      </c>
      <c r="C652" s="15">
        <v>1</v>
      </c>
      <c r="D652" s="15" t="s">
        <v>387</v>
      </c>
      <c r="E652" s="15">
        <v>14</v>
      </c>
    </row>
    <row r="653" spans="1:5" x14ac:dyDescent="0.25">
      <c r="A653" s="15" t="s">
        <v>42</v>
      </c>
      <c r="B653" s="17">
        <f t="shared" si="7"/>
        <v>41967</v>
      </c>
      <c r="C653" s="15">
        <v>2</v>
      </c>
      <c r="D653" s="15" t="s">
        <v>387</v>
      </c>
      <c r="E653" s="15">
        <v>8</v>
      </c>
    </row>
    <row r="654" spans="1:5" x14ac:dyDescent="0.25">
      <c r="A654" s="15" t="s">
        <v>42</v>
      </c>
      <c r="B654" s="17">
        <f t="shared" si="7"/>
        <v>41967</v>
      </c>
      <c r="C654" s="15">
        <v>1</v>
      </c>
      <c r="D654" s="15" t="s">
        <v>433</v>
      </c>
      <c r="E654" s="15">
        <v>1</v>
      </c>
    </row>
    <row r="655" spans="1:5" x14ac:dyDescent="0.25">
      <c r="A655" s="15" t="s">
        <v>42</v>
      </c>
      <c r="B655" s="17">
        <f t="shared" si="7"/>
        <v>41967</v>
      </c>
      <c r="C655" s="15">
        <v>1</v>
      </c>
      <c r="D655" s="15" t="s">
        <v>433</v>
      </c>
      <c r="E655" s="15">
        <v>1</v>
      </c>
    </row>
    <row r="656" spans="1:5" x14ac:dyDescent="0.25">
      <c r="A656" s="15" t="s">
        <v>42</v>
      </c>
      <c r="B656" s="17">
        <f t="shared" si="7"/>
        <v>41967</v>
      </c>
      <c r="C656" s="15">
        <v>2</v>
      </c>
      <c r="D656" s="15" t="s">
        <v>351</v>
      </c>
      <c r="E656" s="15">
        <v>2</v>
      </c>
    </row>
    <row r="657" spans="1:5" x14ac:dyDescent="0.25">
      <c r="A657" s="15" t="s">
        <v>42</v>
      </c>
      <c r="B657" s="17">
        <f t="shared" si="7"/>
        <v>41967</v>
      </c>
      <c r="C657" s="15">
        <v>2</v>
      </c>
      <c r="D657" s="15" t="s">
        <v>405</v>
      </c>
      <c r="E657" s="15">
        <v>3</v>
      </c>
    </row>
    <row r="658" spans="1:5" x14ac:dyDescent="0.25">
      <c r="A658" s="15" t="s">
        <v>42</v>
      </c>
      <c r="B658" s="17">
        <f t="shared" si="7"/>
        <v>41967</v>
      </c>
      <c r="C658" s="15">
        <v>1</v>
      </c>
      <c r="D658" s="15" t="s">
        <v>422</v>
      </c>
      <c r="E658" s="15">
        <v>4</v>
      </c>
    </row>
    <row r="659" spans="1:5" x14ac:dyDescent="0.25">
      <c r="A659" s="15" t="s">
        <v>42</v>
      </c>
      <c r="B659" s="17">
        <f t="shared" si="7"/>
        <v>41967</v>
      </c>
      <c r="C659" s="15">
        <v>2</v>
      </c>
      <c r="D659" s="15" t="s">
        <v>422</v>
      </c>
      <c r="E659" s="15">
        <v>9</v>
      </c>
    </row>
    <row r="660" spans="1:5" x14ac:dyDescent="0.25">
      <c r="A660" s="15" t="s">
        <v>42</v>
      </c>
      <c r="B660" s="17">
        <f t="shared" si="7"/>
        <v>41967</v>
      </c>
      <c r="C660" s="15">
        <v>1</v>
      </c>
      <c r="D660" s="15" t="s">
        <v>66</v>
      </c>
      <c r="E660" s="15">
        <v>1</v>
      </c>
    </row>
    <row r="661" spans="1:5" x14ac:dyDescent="0.25">
      <c r="A661" s="15" t="s">
        <v>42</v>
      </c>
      <c r="B661" s="17">
        <f t="shared" si="7"/>
        <v>41967</v>
      </c>
      <c r="C661" s="15">
        <v>2</v>
      </c>
      <c r="D661" s="15" t="s">
        <v>66</v>
      </c>
      <c r="E661" s="15">
        <v>6</v>
      </c>
    </row>
    <row r="662" spans="1:5" x14ac:dyDescent="0.25">
      <c r="A662" s="15" t="s">
        <v>42</v>
      </c>
      <c r="B662" s="17">
        <f t="shared" si="7"/>
        <v>41967</v>
      </c>
      <c r="C662" s="15">
        <v>1</v>
      </c>
      <c r="D662" s="15" t="s">
        <v>333</v>
      </c>
      <c r="E662" s="15">
        <v>14</v>
      </c>
    </row>
    <row r="663" spans="1:5" x14ac:dyDescent="0.25">
      <c r="A663" s="15" t="s">
        <v>42</v>
      </c>
      <c r="B663" s="17">
        <f t="shared" si="7"/>
        <v>41967</v>
      </c>
      <c r="C663" s="15">
        <v>2</v>
      </c>
      <c r="D663" s="15" t="s">
        <v>333</v>
      </c>
      <c r="E663" s="15">
        <v>9</v>
      </c>
    </row>
    <row r="664" spans="1:5" x14ac:dyDescent="0.25">
      <c r="A664" s="15" t="s">
        <v>42</v>
      </c>
      <c r="B664" s="17">
        <f t="shared" si="7"/>
        <v>41967</v>
      </c>
      <c r="C664" s="15">
        <v>1</v>
      </c>
      <c r="D664" s="15" t="s">
        <v>344</v>
      </c>
      <c r="E664" s="15">
        <v>1</v>
      </c>
    </row>
    <row r="665" spans="1:5" x14ac:dyDescent="0.25">
      <c r="A665" s="15" t="s">
        <v>42</v>
      </c>
      <c r="B665" s="17">
        <f t="shared" si="7"/>
        <v>41967</v>
      </c>
      <c r="C665" s="15">
        <v>2</v>
      </c>
      <c r="D665" s="15" t="s">
        <v>362</v>
      </c>
      <c r="E665" s="15">
        <v>1</v>
      </c>
    </row>
    <row r="666" spans="1:5" x14ac:dyDescent="0.25">
      <c r="A666" s="15" t="s">
        <v>42</v>
      </c>
      <c r="B666" s="17">
        <f t="shared" si="7"/>
        <v>41967</v>
      </c>
      <c r="C666" s="15">
        <v>2</v>
      </c>
      <c r="D666" s="15" t="s">
        <v>374</v>
      </c>
      <c r="E666" s="15">
        <v>3</v>
      </c>
    </row>
    <row r="667" spans="1:5" x14ac:dyDescent="0.25">
      <c r="A667" s="15" t="s">
        <v>42</v>
      </c>
      <c r="B667" s="17">
        <v>42348</v>
      </c>
      <c r="C667" s="15">
        <v>1</v>
      </c>
      <c r="D667" s="15" t="s">
        <v>74</v>
      </c>
      <c r="E667" s="15">
        <v>2</v>
      </c>
    </row>
    <row r="668" spans="1:5" x14ac:dyDescent="0.25">
      <c r="A668" s="15" t="s">
        <v>42</v>
      </c>
      <c r="B668" s="17">
        <f t="shared" ref="B668:B703" si="8">B667</f>
        <v>42348</v>
      </c>
      <c r="C668" s="15">
        <v>2</v>
      </c>
      <c r="D668" s="15" t="s">
        <v>97</v>
      </c>
      <c r="E668" s="15">
        <v>1</v>
      </c>
    </row>
    <row r="669" spans="1:5" x14ac:dyDescent="0.25">
      <c r="A669" s="15" t="s">
        <v>42</v>
      </c>
      <c r="B669" s="17">
        <f t="shared" si="8"/>
        <v>42348</v>
      </c>
      <c r="C669" s="15">
        <v>1</v>
      </c>
      <c r="D669" s="15" t="s">
        <v>76</v>
      </c>
      <c r="E669" s="15">
        <v>6</v>
      </c>
    </row>
    <row r="670" spans="1:5" x14ac:dyDescent="0.25">
      <c r="A670" s="15" t="s">
        <v>42</v>
      </c>
      <c r="B670" s="17">
        <f t="shared" si="8"/>
        <v>42348</v>
      </c>
      <c r="C670" s="15">
        <v>2</v>
      </c>
      <c r="D670" s="15" t="s">
        <v>76</v>
      </c>
      <c r="E670" s="15">
        <v>2</v>
      </c>
    </row>
    <row r="671" spans="1:5" x14ac:dyDescent="0.25">
      <c r="A671" s="15" t="s">
        <v>42</v>
      </c>
      <c r="B671" s="17">
        <f t="shared" si="8"/>
        <v>42348</v>
      </c>
      <c r="C671" s="15">
        <v>2</v>
      </c>
      <c r="D671" s="15" t="s">
        <v>325</v>
      </c>
      <c r="E671" s="15">
        <v>2</v>
      </c>
    </row>
    <row r="672" spans="1:5" x14ac:dyDescent="0.25">
      <c r="A672" s="15" t="s">
        <v>42</v>
      </c>
      <c r="B672" s="17">
        <f t="shared" si="8"/>
        <v>42348</v>
      </c>
      <c r="C672" s="15">
        <v>2</v>
      </c>
      <c r="D672" s="15" t="s">
        <v>427</v>
      </c>
      <c r="E672" s="15">
        <v>1</v>
      </c>
    </row>
    <row r="673" spans="1:5" x14ac:dyDescent="0.25">
      <c r="A673" s="15" t="s">
        <v>42</v>
      </c>
      <c r="B673" s="17">
        <f t="shared" si="8"/>
        <v>42348</v>
      </c>
      <c r="C673" s="15">
        <v>1</v>
      </c>
      <c r="D673" s="15" t="s">
        <v>339</v>
      </c>
      <c r="E673" s="15">
        <v>2</v>
      </c>
    </row>
    <row r="674" spans="1:5" x14ac:dyDescent="0.25">
      <c r="A674" s="15" t="s">
        <v>42</v>
      </c>
      <c r="B674" s="17">
        <f t="shared" si="8"/>
        <v>42348</v>
      </c>
      <c r="C674" s="15">
        <v>1</v>
      </c>
      <c r="D674" s="15" t="s">
        <v>82</v>
      </c>
      <c r="E674" s="15">
        <v>2</v>
      </c>
    </row>
    <row r="675" spans="1:5" x14ac:dyDescent="0.25">
      <c r="A675" s="15" t="s">
        <v>42</v>
      </c>
      <c r="B675" s="17">
        <f t="shared" si="8"/>
        <v>42348</v>
      </c>
      <c r="C675" s="15">
        <v>2</v>
      </c>
      <c r="D675" s="15" t="s">
        <v>82</v>
      </c>
      <c r="E675" s="15">
        <v>2</v>
      </c>
    </row>
    <row r="676" spans="1:5" x14ac:dyDescent="0.25">
      <c r="A676" s="15" t="s">
        <v>42</v>
      </c>
      <c r="B676" s="17">
        <f t="shared" si="8"/>
        <v>42348</v>
      </c>
      <c r="C676" s="15">
        <v>1</v>
      </c>
      <c r="D676" s="15" t="s">
        <v>83</v>
      </c>
      <c r="E676" s="15">
        <v>16</v>
      </c>
    </row>
    <row r="677" spans="1:5" x14ac:dyDescent="0.25">
      <c r="A677" s="15" t="s">
        <v>42</v>
      </c>
      <c r="B677" s="17">
        <f t="shared" si="8"/>
        <v>42348</v>
      </c>
      <c r="C677" s="15">
        <v>2</v>
      </c>
      <c r="D677" s="15" t="s">
        <v>83</v>
      </c>
      <c r="E677" s="15">
        <v>8</v>
      </c>
    </row>
    <row r="678" spans="1:5" x14ac:dyDescent="0.25">
      <c r="A678" s="15" t="s">
        <v>42</v>
      </c>
      <c r="B678" s="17">
        <f t="shared" si="8"/>
        <v>42348</v>
      </c>
      <c r="C678" s="15">
        <v>1</v>
      </c>
      <c r="D678" s="15" t="s">
        <v>432</v>
      </c>
      <c r="E678" s="15">
        <v>1</v>
      </c>
    </row>
    <row r="679" spans="1:5" x14ac:dyDescent="0.25">
      <c r="A679" s="15" t="s">
        <v>42</v>
      </c>
      <c r="B679" s="17">
        <f t="shared" si="8"/>
        <v>42348</v>
      </c>
      <c r="C679" s="15">
        <v>1</v>
      </c>
      <c r="D679" s="15" t="s">
        <v>390</v>
      </c>
      <c r="E679" s="15">
        <v>4</v>
      </c>
    </row>
    <row r="680" spans="1:5" x14ac:dyDescent="0.25">
      <c r="A680" s="15" t="s">
        <v>42</v>
      </c>
      <c r="B680" s="17">
        <f t="shared" si="8"/>
        <v>42348</v>
      </c>
      <c r="C680" s="15">
        <v>2</v>
      </c>
      <c r="D680" s="15" t="s">
        <v>390</v>
      </c>
      <c r="E680" s="15">
        <v>6</v>
      </c>
    </row>
    <row r="681" spans="1:5" x14ac:dyDescent="0.25">
      <c r="A681" s="15" t="s">
        <v>42</v>
      </c>
      <c r="B681" s="17">
        <f t="shared" si="8"/>
        <v>42348</v>
      </c>
      <c r="C681" s="15">
        <v>1</v>
      </c>
      <c r="D681" s="15" t="s">
        <v>434</v>
      </c>
      <c r="E681" s="15">
        <v>1</v>
      </c>
    </row>
    <row r="682" spans="1:5" x14ac:dyDescent="0.25">
      <c r="A682" s="15" t="s">
        <v>42</v>
      </c>
      <c r="B682" s="17">
        <f t="shared" si="8"/>
        <v>42348</v>
      </c>
      <c r="C682" s="15">
        <v>2</v>
      </c>
      <c r="D682" s="15" t="s">
        <v>434</v>
      </c>
      <c r="E682" s="15">
        <v>1</v>
      </c>
    </row>
    <row r="683" spans="1:5" x14ac:dyDescent="0.25">
      <c r="A683" s="15" t="s">
        <v>42</v>
      </c>
      <c r="B683" s="17">
        <f t="shared" si="8"/>
        <v>42348</v>
      </c>
      <c r="C683" s="15">
        <v>1</v>
      </c>
      <c r="D683" s="15" t="s">
        <v>384</v>
      </c>
      <c r="E683" s="15">
        <v>46</v>
      </c>
    </row>
    <row r="684" spans="1:5" x14ac:dyDescent="0.25">
      <c r="A684" s="15" t="s">
        <v>42</v>
      </c>
      <c r="B684" s="17">
        <f t="shared" si="8"/>
        <v>42348</v>
      </c>
      <c r="C684" s="15">
        <v>2</v>
      </c>
      <c r="D684" s="15" t="s">
        <v>384</v>
      </c>
      <c r="E684" s="15">
        <v>42</v>
      </c>
    </row>
    <row r="685" spans="1:5" x14ac:dyDescent="0.25">
      <c r="A685" s="15" t="s">
        <v>42</v>
      </c>
      <c r="B685" s="17">
        <f t="shared" si="8"/>
        <v>42348</v>
      </c>
      <c r="C685" s="15">
        <v>1</v>
      </c>
      <c r="D685" s="15" t="s">
        <v>385</v>
      </c>
      <c r="E685" s="15">
        <v>1</v>
      </c>
    </row>
    <row r="686" spans="1:5" x14ac:dyDescent="0.25">
      <c r="A686" s="15" t="s">
        <v>42</v>
      </c>
      <c r="B686" s="17">
        <f t="shared" si="8"/>
        <v>42348</v>
      </c>
      <c r="C686" s="15">
        <v>2</v>
      </c>
      <c r="D686" s="15" t="s">
        <v>385</v>
      </c>
      <c r="E686" s="15">
        <v>1</v>
      </c>
    </row>
    <row r="687" spans="1:5" x14ac:dyDescent="0.25">
      <c r="A687" s="15" t="s">
        <v>42</v>
      </c>
      <c r="B687" s="17">
        <f t="shared" si="8"/>
        <v>42348</v>
      </c>
      <c r="C687" s="15">
        <v>1</v>
      </c>
      <c r="D687" s="15" t="s">
        <v>372</v>
      </c>
      <c r="E687" s="15">
        <v>37</v>
      </c>
    </row>
    <row r="688" spans="1:5" x14ac:dyDescent="0.25">
      <c r="A688" s="15" t="s">
        <v>42</v>
      </c>
      <c r="B688" s="17">
        <f t="shared" si="8"/>
        <v>42348</v>
      </c>
      <c r="C688" s="15">
        <v>2</v>
      </c>
      <c r="D688" s="15" t="s">
        <v>372</v>
      </c>
      <c r="E688" s="15">
        <v>49</v>
      </c>
    </row>
    <row r="689" spans="1:5" x14ac:dyDescent="0.25">
      <c r="A689" s="15" t="s">
        <v>42</v>
      </c>
      <c r="B689" s="17">
        <f t="shared" si="8"/>
        <v>42348</v>
      </c>
      <c r="C689" s="15">
        <v>1</v>
      </c>
      <c r="D689" s="15" t="s">
        <v>387</v>
      </c>
      <c r="E689" s="15">
        <v>23</v>
      </c>
    </row>
    <row r="690" spans="1:5" x14ac:dyDescent="0.25">
      <c r="A690" s="15" t="s">
        <v>42</v>
      </c>
      <c r="B690" s="17">
        <f t="shared" si="8"/>
        <v>42348</v>
      </c>
      <c r="C690" s="15">
        <v>2</v>
      </c>
      <c r="D690" s="15" t="s">
        <v>387</v>
      </c>
      <c r="E690" s="15">
        <v>28</v>
      </c>
    </row>
    <row r="691" spans="1:5" x14ac:dyDescent="0.25">
      <c r="A691" s="15" t="s">
        <v>42</v>
      </c>
      <c r="B691" s="17">
        <f t="shared" si="8"/>
        <v>42348</v>
      </c>
      <c r="C691" s="15">
        <v>1</v>
      </c>
      <c r="D691" s="15" t="s">
        <v>435</v>
      </c>
      <c r="E691" s="15">
        <v>1</v>
      </c>
    </row>
    <row r="692" spans="1:5" x14ac:dyDescent="0.25">
      <c r="A692" s="15" t="s">
        <v>42</v>
      </c>
      <c r="B692" s="17">
        <f t="shared" si="8"/>
        <v>42348</v>
      </c>
      <c r="C692" s="15">
        <v>1</v>
      </c>
      <c r="D692" s="15" t="s">
        <v>433</v>
      </c>
      <c r="E692" s="15">
        <v>1</v>
      </c>
    </row>
    <row r="693" spans="1:5" x14ac:dyDescent="0.25">
      <c r="A693" s="15" t="s">
        <v>42</v>
      </c>
      <c r="B693" s="17">
        <f t="shared" si="8"/>
        <v>42348</v>
      </c>
      <c r="C693" s="15">
        <v>2</v>
      </c>
      <c r="D693" s="15" t="s">
        <v>433</v>
      </c>
      <c r="E693" s="15">
        <v>1</v>
      </c>
    </row>
    <row r="694" spans="1:5" x14ac:dyDescent="0.25">
      <c r="A694" s="15" t="s">
        <v>42</v>
      </c>
      <c r="B694" s="17">
        <f t="shared" si="8"/>
        <v>42348</v>
      </c>
      <c r="C694" s="15">
        <v>2</v>
      </c>
      <c r="D694" s="15" t="s">
        <v>351</v>
      </c>
      <c r="E694" s="15">
        <v>1</v>
      </c>
    </row>
    <row r="695" spans="1:5" x14ac:dyDescent="0.25">
      <c r="A695" s="15" t="s">
        <v>42</v>
      </c>
      <c r="B695" s="17">
        <f t="shared" si="8"/>
        <v>42348</v>
      </c>
      <c r="C695" s="15">
        <v>1</v>
      </c>
      <c r="D695" s="15" t="s">
        <v>352</v>
      </c>
      <c r="E695" s="15">
        <v>2</v>
      </c>
    </row>
    <row r="696" spans="1:5" x14ac:dyDescent="0.25">
      <c r="A696" s="15" t="s">
        <v>42</v>
      </c>
      <c r="B696" s="17">
        <f t="shared" si="8"/>
        <v>42348</v>
      </c>
      <c r="C696" s="15">
        <v>2</v>
      </c>
      <c r="D696" s="15" t="s">
        <v>352</v>
      </c>
      <c r="E696" s="15">
        <v>2</v>
      </c>
    </row>
    <row r="697" spans="1:5" x14ac:dyDescent="0.25">
      <c r="A697" s="15" t="s">
        <v>42</v>
      </c>
      <c r="B697" s="17">
        <f t="shared" si="8"/>
        <v>42348</v>
      </c>
      <c r="C697" s="15">
        <v>1</v>
      </c>
      <c r="D697" s="15" t="s">
        <v>331</v>
      </c>
      <c r="E697" s="15">
        <v>3</v>
      </c>
    </row>
    <row r="698" spans="1:5" x14ac:dyDescent="0.25">
      <c r="A698" s="15" t="s">
        <v>42</v>
      </c>
      <c r="B698" s="17">
        <f t="shared" si="8"/>
        <v>42348</v>
      </c>
      <c r="C698" s="15">
        <v>2</v>
      </c>
      <c r="D698" s="15" t="s">
        <v>331</v>
      </c>
      <c r="E698" s="15">
        <v>3</v>
      </c>
    </row>
    <row r="699" spans="1:5" x14ac:dyDescent="0.25">
      <c r="A699" s="15" t="s">
        <v>42</v>
      </c>
      <c r="B699" s="17">
        <f t="shared" si="8"/>
        <v>42348</v>
      </c>
      <c r="C699" s="15">
        <v>1</v>
      </c>
      <c r="D699" s="15" t="s">
        <v>66</v>
      </c>
      <c r="E699" s="15">
        <v>1</v>
      </c>
    </row>
    <row r="700" spans="1:5" x14ac:dyDescent="0.25">
      <c r="A700" s="15" t="s">
        <v>42</v>
      </c>
      <c r="B700" s="17">
        <f t="shared" si="8"/>
        <v>42348</v>
      </c>
      <c r="C700" s="15">
        <v>1</v>
      </c>
      <c r="D700" s="15" t="s">
        <v>333</v>
      </c>
      <c r="E700" s="15">
        <v>8</v>
      </c>
    </row>
    <row r="701" spans="1:5" x14ac:dyDescent="0.25">
      <c r="A701" s="15" t="s">
        <v>42</v>
      </c>
      <c r="B701" s="17">
        <f t="shared" si="8"/>
        <v>42348</v>
      </c>
      <c r="C701" s="15">
        <v>2</v>
      </c>
      <c r="D701" s="15" t="s">
        <v>333</v>
      </c>
      <c r="E701" s="15">
        <v>1</v>
      </c>
    </row>
    <row r="702" spans="1:5" x14ac:dyDescent="0.25">
      <c r="A702" s="15" t="s">
        <v>42</v>
      </c>
      <c r="B702" s="17">
        <f t="shared" si="8"/>
        <v>42348</v>
      </c>
      <c r="C702" s="15">
        <v>1</v>
      </c>
      <c r="D702" s="15" t="s">
        <v>334</v>
      </c>
      <c r="E702" s="15">
        <v>1</v>
      </c>
    </row>
    <row r="703" spans="1:5" x14ac:dyDescent="0.25">
      <c r="A703" s="15" t="s">
        <v>42</v>
      </c>
      <c r="B703" s="17">
        <f t="shared" si="8"/>
        <v>42348</v>
      </c>
      <c r="C703" s="15">
        <v>2</v>
      </c>
      <c r="D703" s="15" t="s">
        <v>436</v>
      </c>
      <c r="E703" s="15">
        <v>1</v>
      </c>
    </row>
    <row r="704" spans="1:5" x14ac:dyDescent="0.25">
      <c r="A704" s="15" t="s">
        <v>45</v>
      </c>
      <c r="B704" s="17">
        <v>41773</v>
      </c>
      <c r="C704" s="15">
        <v>1</v>
      </c>
      <c r="D704" s="15" t="s">
        <v>325</v>
      </c>
      <c r="E704" s="15">
        <v>4</v>
      </c>
    </row>
    <row r="705" spans="1:5" x14ac:dyDescent="0.25">
      <c r="A705" s="15" t="s">
        <v>45</v>
      </c>
      <c r="B705" s="17">
        <f t="shared" ref="B705:B730" si="9">B704</f>
        <v>41773</v>
      </c>
      <c r="C705" s="15">
        <v>2</v>
      </c>
      <c r="D705" s="15" t="s">
        <v>381</v>
      </c>
      <c r="E705" s="15">
        <v>1</v>
      </c>
    </row>
    <row r="706" spans="1:5" x14ac:dyDescent="0.25">
      <c r="A706" s="15" t="s">
        <v>45</v>
      </c>
      <c r="B706" s="17">
        <f t="shared" si="9"/>
        <v>41773</v>
      </c>
      <c r="C706" s="15">
        <v>1</v>
      </c>
      <c r="D706" s="15" t="s">
        <v>368</v>
      </c>
      <c r="E706" s="15">
        <v>4</v>
      </c>
    </row>
    <row r="707" spans="1:5" x14ac:dyDescent="0.25">
      <c r="A707" s="15" t="s">
        <v>45</v>
      </c>
      <c r="B707" s="17">
        <f t="shared" si="9"/>
        <v>41773</v>
      </c>
      <c r="C707" s="15">
        <v>2</v>
      </c>
      <c r="D707" s="15" t="s">
        <v>368</v>
      </c>
      <c r="E707" s="15">
        <v>2</v>
      </c>
    </row>
    <row r="708" spans="1:5" x14ac:dyDescent="0.25">
      <c r="A708" s="15" t="s">
        <v>45</v>
      </c>
      <c r="B708" s="17">
        <f t="shared" si="9"/>
        <v>41773</v>
      </c>
      <c r="C708" s="15">
        <v>1</v>
      </c>
      <c r="D708" s="15" t="s">
        <v>83</v>
      </c>
      <c r="E708" s="15">
        <v>16</v>
      </c>
    </row>
    <row r="709" spans="1:5" x14ac:dyDescent="0.25">
      <c r="A709" s="15" t="s">
        <v>45</v>
      </c>
      <c r="B709" s="17">
        <f t="shared" si="9"/>
        <v>41773</v>
      </c>
      <c r="C709" s="15">
        <v>2</v>
      </c>
      <c r="D709" s="15" t="s">
        <v>83</v>
      </c>
      <c r="E709" s="15">
        <v>14</v>
      </c>
    </row>
    <row r="710" spans="1:5" x14ac:dyDescent="0.25">
      <c r="A710" s="15" t="s">
        <v>45</v>
      </c>
      <c r="B710" s="17">
        <f t="shared" si="9"/>
        <v>41773</v>
      </c>
      <c r="C710" s="15">
        <v>1</v>
      </c>
      <c r="D710" s="15" t="s">
        <v>437</v>
      </c>
      <c r="E710" s="15">
        <v>4</v>
      </c>
    </row>
    <row r="711" spans="1:5" x14ac:dyDescent="0.25">
      <c r="A711" s="15" t="s">
        <v>45</v>
      </c>
      <c r="B711" s="17">
        <f t="shared" si="9"/>
        <v>41773</v>
      </c>
      <c r="C711" s="15">
        <v>2</v>
      </c>
      <c r="D711" s="15" t="s">
        <v>437</v>
      </c>
      <c r="E711" s="15">
        <v>1</v>
      </c>
    </row>
    <row r="712" spans="1:5" x14ac:dyDescent="0.25">
      <c r="A712" s="15" t="s">
        <v>45</v>
      </c>
      <c r="B712" s="17">
        <f t="shared" si="9"/>
        <v>41773</v>
      </c>
      <c r="C712" s="15">
        <v>1</v>
      </c>
      <c r="D712" s="15" t="s">
        <v>438</v>
      </c>
      <c r="E712" s="15">
        <v>1</v>
      </c>
    </row>
    <row r="713" spans="1:5" x14ac:dyDescent="0.25">
      <c r="A713" s="15" t="s">
        <v>45</v>
      </c>
      <c r="B713" s="17">
        <f t="shared" si="9"/>
        <v>41773</v>
      </c>
      <c r="C713" s="15">
        <v>1</v>
      </c>
      <c r="D713" s="15" t="s">
        <v>384</v>
      </c>
      <c r="E713" s="15">
        <v>56</v>
      </c>
    </row>
    <row r="714" spans="1:5" x14ac:dyDescent="0.25">
      <c r="A714" s="15" t="s">
        <v>45</v>
      </c>
      <c r="B714" s="17">
        <f t="shared" si="9"/>
        <v>41773</v>
      </c>
      <c r="C714" s="15">
        <v>2</v>
      </c>
      <c r="D714" s="15" t="s">
        <v>384</v>
      </c>
      <c r="E714" s="15">
        <v>59</v>
      </c>
    </row>
    <row r="715" spans="1:5" x14ac:dyDescent="0.25">
      <c r="A715" s="15" t="s">
        <v>45</v>
      </c>
      <c r="B715" s="17">
        <f t="shared" si="9"/>
        <v>41773</v>
      </c>
      <c r="C715" s="15">
        <v>2</v>
      </c>
      <c r="D715" s="15" t="s">
        <v>403</v>
      </c>
      <c r="E715" s="15">
        <v>2</v>
      </c>
    </row>
    <row r="716" spans="1:5" x14ac:dyDescent="0.25">
      <c r="A716" s="15" t="s">
        <v>45</v>
      </c>
      <c r="B716" s="17">
        <f t="shared" si="9"/>
        <v>41773</v>
      </c>
      <c r="C716" s="15">
        <v>1</v>
      </c>
      <c r="D716" s="15" t="s">
        <v>439</v>
      </c>
      <c r="E716" s="15">
        <v>1</v>
      </c>
    </row>
    <row r="717" spans="1:5" x14ac:dyDescent="0.25">
      <c r="A717" s="15" t="s">
        <v>45</v>
      </c>
      <c r="B717" s="17">
        <f t="shared" si="9"/>
        <v>41773</v>
      </c>
      <c r="C717" s="15">
        <v>1</v>
      </c>
      <c r="D717" s="15" t="s">
        <v>433</v>
      </c>
      <c r="E717" s="15">
        <v>2</v>
      </c>
    </row>
    <row r="718" spans="1:5" x14ac:dyDescent="0.25">
      <c r="A718" s="15" t="s">
        <v>45</v>
      </c>
      <c r="B718" s="17">
        <f t="shared" si="9"/>
        <v>41773</v>
      </c>
      <c r="C718" s="15">
        <v>2</v>
      </c>
      <c r="D718" s="15" t="s">
        <v>433</v>
      </c>
      <c r="E718" s="15">
        <v>1</v>
      </c>
    </row>
    <row r="719" spans="1:5" x14ac:dyDescent="0.25">
      <c r="A719" s="15" t="s">
        <v>45</v>
      </c>
      <c r="B719" s="17">
        <f t="shared" si="9"/>
        <v>41773</v>
      </c>
      <c r="C719" s="15">
        <v>1</v>
      </c>
      <c r="D719" s="15" t="s">
        <v>351</v>
      </c>
      <c r="E719" s="15">
        <v>1</v>
      </c>
    </row>
    <row r="720" spans="1:5" x14ac:dyDescent="0.25">
      <c r="A720" s="15" t="s">
        <v>45</v>
      </c>
      <c r="B720" s="17">
        <f t="shared" si="9"/>
        <v>41773</v>
      </c>
      <c r="C720" s="15">
        <v>1</v>
      </c>
      <c r="D720" s="15" t="s">
        <v>352</v>
      </c>
      <c r="E720" s="15">
        <v>1</v>
      </c>
    </row>
    <row r="721" spans="1:5" x14ac:dyDescent="0.25">
      <c r="A721" s="15" t="s">
        <v>45</v>
      </c>
      <c r="B721" s="17">
        <f t="shared" si="9"/>
        <v>41773</v>
      </c>
      <c r="C721" s="15">
        <v>1</v>
      </c>
      <c r="D721" s="15" t="s">
        <v>331</v>
      </c>
      <c r="E721" s="15">
        <v>3</v>
      </c>
    </row>
    <row r="722" spans="1:5" x14ac:dyDescent="0.25">
      <c r="A722" s="15" t="s">
        <v>45</v>
      </c>
      <c r="B722" s="17">
        <f t="shared" si="9"/>
        <v>41773</v>
      </c>
      <c r="C722" s="15">
        <v>2</v>
      </c>
      <c r="D722" s="15" t="s">
        <v>440</v>
      </c>
      <c r="E722" s="15">
        <v>2</v>
      </c>
    </row>
    <row r="723" spans="1:5" x14ac:dyDescent="0.25">
      <c r="A723" s="15" t="s">
        <v>45</v>
      </c>
      <c r="B723" s="17">
        <f t="shared" si="9"/>
        <v>41773</v>
      </c>
      <c r="C723" s="15">
        <v>2</v>
      </c>
      <c r="D723" s="15" t="s">
        <v>353</v>
      </c>
      <c r="E723" s="15">
        <v>1</v>
      </c>
    </row>
    <row r="724" spans="1:5" x14ac:dyDescent="0.25">
      <c r="A724" s="15" t="s">
        <v>45</v>
      </c>
      <c r="B724" s="17">
        <f t="shared" si="9"/>
        <v>41773</v>
      </c>
      <c r="C724" s="15">
        <v>1</v>
      </c>
      <c r="D724" s="15" t="s">
        <v>66</v>
      </c>
      <c r="E724" s="15">
        <v>1</v>
      </c>
    </row>
    <row r="725" spans="1:5" x14ac:dyDescent="0.25">
      <c r="A725" s="15" t="s">
        <v>45</v>
      </c>
      <c r="B725" s="17">
        <f t="shared" si="9"/>
        <v>41773</v>
      </c>
      <c r="C725" s="15">
        <v>1</v>
      </c>
      <c r="D725" s="15" t="s">
        <v>333</v>
      </c>
      <c r="E725" s="15">
        <v>41</v>
      </c>
    </row>
    <row r="726" spans="1:5" x14ac:dyDescent="0.25">
      <c r="A726" s="15" t="s">
        <v>45</v>
      </c>
      <c r="B726" s="17">
        <f t="shared" si="9"/>
        <v>41773</v>
      </c>
      <c r="C726" s="15">
        <v>2</v>
      </c>
      <c r="D726" s="15" t="s">
        <v>333</v>
      </c>
      <c r="E726" s="15">
        <v>62</v>
      </c>
    </row>
    <row r="727" spans="1:5" x14ac:dyDescent="0.25">
      <c r="A727" s="15" t="s">
        <v>45</v>
      </c>
      <c r="B727" s="17">
        <f t="shared" si="9"/>
        <v>41773</v>
      </c>
      <c r="C727" s="15">
        <v>1</v>
      </c>
      <c r="D727" s="15" t="s">
        <v>425</v>
      </c>
      <c r="E727" s="15">
        <v>1</v>
      </c>
    </row>
    <row r="728" spans="1:5" x14ac:dyDescent="0.25">
      <c r="A728" s="15" t="s">
        <v>45</v>
      </c>
      <c r="B728" s="17">
        <f t="shared" si="9"/>
        <v>41773</v>
      </c>
      <c r="C728" s="15">
        <v>2</v>
      </c>
      <c r="D728" s="15" t="s">
        <v>425</v>
      </c>
      <c r="E728" s="15">
        <v>1</v>
      </c>
    </row>
    <row r="729" spans="1:5" x14ac:dyDescent="0.25">
      <c r="A729" s="15" t="s">
        <v>45</v>
      </c>
      <c r="B729" s="17">
        <f t="shared" si="9"/>
        <v>41773</v>
      </c>
      <c r="C729" s="15">
        <v>1</v>
      </c>
      <c r="D729" s="15" t="s">
        <v>361</v>
      </c>
      <c r="E729" s="15">
        <v>1</v>
      </c>
    </row>
    <row r="730" spans="1:5" x14ac:dyDescent="0.25">
      <c r="A730" s="15" t="s">
        <v>45</v>
      </c>
      <c r="B730" s="17">
        <f t="shared" si="9"/>
        <v>41773</v>
      </c>
      <c r="C730" s="15">
        <v>1</v>
      </c>
      <c r="D730" s="15" t="s">
        <v>374</v>
      </c>
      <c r="E730" s="15">
        <v>3</v>
      </c>
    </row>
    <row r="731" spans="1:5" x14ac:dyDescent="0.25">
      <c r="A731" s="15" t="s">
        <v>45</v>
      </c>
      <c r="B731" s="17">
        <v>41940</v>
      </c>
      <c r="C731" s="15">
        <v>2</v>
      </c>
      <c r="D731" s="15" t="s">
        <v>97</v>
      </c>
      <c r="E731" s="15">
        <v>1</v>
      </c>
    </row>
    <row r="732" spans="1:5" x14ac:dyDescent="0.25">
      <c r="A732" s="15" t="s">
        <v>45</v>
      </c>
      <c r="B732" s="17">
        <f t="shared" ref="B732:B777" si="10">B731</f>
        <v>41940</v>
      </c>
      <c r="C732" s="15">
        <v>1</v>
      </c>
      <c r="D732" s="15" t="s">
        <v>337</v>
      </c>
      <c r="E732" s="15">
        <v>1</v>
      </c>
    </row>
    <row r="733" spans="1:5" x14ac:dyDescent="0.25">
      <c r="A733" s="15" t="s">
        <v>45</v>
      </c>
      <c r="B733" s="17">
        <f t="shared" si="10"/>
        <v>41940</v>
      </c>
      <c r="C733" s="15">
        <v>2</v>
      </c>
      <c r="D733" s="15" t="s">
        <v>337</v>
      </c>
      <c r="E733" s="15">
        <v>2</v>
      </c>
    </row>
    <row r="734" spans="1:5" x14ac:dyDescent="0.25">
      <c r="A734" s="15" t="s">
        <v>45</v>
      </c>
      <c r="B734" s="17">
        <f t="shared" si="10"/>
        <v>41940</v>
      </c>
      <c r="C734" s="15">
        <v>2</v>
      </c>
      <c r="D734" s="15" t="s">
        <v>325</v>
      </c>
      <c r="E734" s="15">
        <v>3</v>
      </c>
    </row>
    <row r="735" spans="1:5" x14ac:dyDescent="0.25">
      <c r="A735" s="15" t="s">
        <v>45</v>
      </c>
      <c r="B735" s="17">
        <f t="shared" si="10"/>
        <v>41940</v>
      </c>
      <c r="C735" s="15">
        <v>1</v>
      </c>
      <c r="D735" s="15" t="s">
        <v>326</v>
      </c>
      <c r="E735" s="15">
        <v>1</v>
      </c>
    </row>
    <row r="736" spans="1:5" x14ac:dyDescent="0.25">
      <c r="A736" s="15" t="s">
        <v>45</v>
      </c>
      <c r="B736" s="17">
        <f t="shared" si="10"/>
        <v>41940</v>
      </c>
      <c r="C736" s="15">
        <v>2</v>
      </c>
      <c r="D736" s="15" t="s">
        <v>326</v>
      </c>
      <c r="E736" s="15">
        <v>2</v>
      </c>
    </row>
    <row r="737" spans="1:5" x14ac:dyDescent="0.25">
      <c r="A737" s="15" t="s">
        <v>45</v>
      </c>
      <c r="B737" s="17">
        <f t="shared" si="10"/>
        <v>41940</v>
      </c>
      <c r="C737" s="15">
        <v>2</v>
      </c>
      <c r="D737" s="15" t="s">
        <v>441</v>
      </c>
      <c r="E737" s="15">
        <v>1</v>
      </c>
    </row>
    <row r="738" spans="1:5" x14ac:dyDescent="0.25">
      <c r="A738" s="15" t="s">
        <v>45</v>
      </c>
      <c r="B738" s="17">
        <f t="shared" si="10"/>
        <v>41940</v>
      </c>
      <c r="C738" s="15">
        <v>2</v>
      </c>
      <c r="D738" s="15" t="s">
        <v>376</v>
      </c>
      <c r="E738" s="15">
        <v>23</v>
      </c>
    </row>
    <row r="739" spans="1:5" x14ac:dyDescent="0.25">
      <c r="A739" s="15" t="s">
        <v>45</v>
      </c>
      <c r="B739" s="17">
        <f t="shared" si="10"/>
        <v>41940</v>
      </c>
      <c r="C739" s="15">
        <v>1</v>
      </c>
      <c r="D739" s="15" t="s">
        <v>349</v>
      </c>
      <c r="E739" s="15">
        <v>7</v>
      </c>
    </row>
    <row r="740" spans="1:5" x14ac:dyDescent="0.25">
      <c r="A740" s="15" t="s">
        <v>45</v>
      </c>
      <c r="B740" s="17">
        <f t="shared" si="10"/>
        <v>41940</v>
      </c>
      <c r="C740" s="15">
        <v>2</v>
      </c>
      <c r="D740" s="15" t="s">
        <v>349</v>
      </c>
      <c r="E740" s="15">
        <v>2</v>
      </c>
    </row>
    <row r="741" spans="1:5" x14ac:dyDescent="0.25">
      <c r="A741" s="15" t="s">
        <v>45</v>
      </c>
      <c r="B741" s="17">
        <f t="shared" si="10"/>
        <v>41940</v>
      </c>
      <c r="C741" s="15">
        <v>2</v>
      </c>
      <c r="D741" s="15" t="s">
        <v>389</v>
      </c>
      <c r="E741" s="15">
        <v>4</v>
      </c>
    </row>
    <row r="742" spans="1:5" x14ac:dyDescent="0.25">
      <c r="A742" s="15" t="s">
        <v>45</v>
      </c>
      <c r="B742" s="17">
        <f t="shared" si="10"/>
        <v>41940</v>
      </c>
      <c r="C742" s="15">
        <v>1</v>
      </c>
      <c r="D742" s="15" t="s">
        <v>381</v>
      </c>
      <c r="E742" s="15">
        <v>4</v>
      </c>
    </row>
    <row r="743" spans="1:5" x14ac:dyDescent="0.25">
      <c r="A743" s="15" t="s">
        <v>45</v>
      </c>
      <c r="B743" s="17">
        <f t="shared" si="10"/>
        <v>41940</v>
      </c>
      <c r="C743" s="15">
        <v>1</v>
      </c>
      <c r="D743" s="15" t="s">
        <v>442</v>
      </c>
      <c r="E743" s="15">
        <v>1</v>
      </c>
    </row>
    <row r="744" spans="1:5" x14ac:dyDescent="0.25">
      <c r="A744" s="15" t="s">
        <v>45</v>
      </c>
      <c r="B744" s="17">
        <f t="shared" si="10"/>
        <v>41940</v>
      </c>
      <c r="C744" s="15">
        <v>1</v>
      </c>
      <c r="D744" s="15" t="s">
        <v>82</v>
      </c>
      <c r="E744" s="15">
        <v>1</v>
      </c>
    </row>
    <row r="745" spans="1:5" x14ac:dyDescent="0.25">
      <c r="A745" s="15" t="s">
        <v>45</v>
      </c>
      <c r="B745" s="17">
        <f t="shared" si="10"/>
        <v>41940</v>
      </c>
      <c r="C745" s="15">
        <v>1</v>
      </c>
      <c r="D745" s="15" t="s">
        <v>83</v>
      </c>
      <c r="E745" s="15">
        <v>30</v>
      </c>
    </row>
    <row r="746" spans="1:5" x14ac:dyDescent="0.25">
      <c r="A746" s="15" t="s">
        <v>45</v>
      </c>
      <c r="B746" s="17">
        <f t="shared" si="10"/>
        <v>41940</v>
      </c>
      <c r="C746" s="15">
        <v>2</v>
      </c>
      <c r="D746" s="15" t="s">
        <v>83</v>
      </c>
      <c r="E746" s="15">
        <v>30</v>
      </c>
    </row>
    <row r="747" spans="1:5" x14ac:dyDescent="0.25">
      <c r="A747" s="15" t="s">
        <v>45</v>
      </c>
      <c r="B747" s="17">
        <f t="shared" si="10"/>
        <v>41940</v>
      </c>
      <c r="C747" s="15">
        <v>1</v>
      </c>
      <c r="D747" s="15" t="s">
        <v>430</v>
      </c>
      <c r="E747" s="15">
        <v>8</v>
      </c>
    </row>
    <row r="748" spans="1:5" x14ac:dyDescent="0.25">
      <c r="A748" s="15" t="s">
        <v>45</v>
      </c>
      <c r="B748" s="17">
        <f t="shared" si="10"/>
        <v>41940</v>
      </c>
      <c r="C748" s="15">
        <v>2</v>
      </c>
      <c r="D748" s="15" t="s">
        <v>430</v>
      </c>
      <c r="E748" s="15">
        <v>8</v>
      </c>
    </row>
    <row r="749" spans="1:5" x14ac:dyDescent="0.25">
      <c r="A749" s="15" t="s">
        <v>45</v>
      </c>
      <c r="B749" s="17">
        <f t="shared" si="10"/>
        <v>41940</v>
      </c>
      <c r="C749" s="15">
        <v>1</v>
      </c>
      <c r="D749" s="15" t="s">
        <v>431</v>
      </c>
      <c r="E749" s="15">
        <v>29</v>
      </c>
    </row>
    <row r="750" spans="1:5" x14ac:dyDescent="0.25">
      <c r="A750" s="15" t="s">
        <v>45</v>
      </c>
      <c r="B750" s="17">
        <f t="shared" si="10"/>
        <v>41940</v>
      </c>
      <c r="C750" s="15">
        <v>2</v>
      </c>
      <c r="D750" s="15" t="s">
        <v>431</v>
      </c>
      <c r="E750" s="15">
        <v>21</v>
      </c>
    </row>
    <row r="751" spans="1:5" x14ac:dyDescent="0.25">
      <c r="A751" s="15" t="s">
        <v>45</v>
      </c>
      <c r="B751" s="17">
        <f t="shared" si="10"/>
        <v>41940</v>
      </c>
      <c r="C751" s="15">
        <v>1</v>
      </c>
      <c r="D751" s="15" t="s">
        <v>419</v>
      </c>
      <c r="E751" s="15">
        <v>1</v>
      </c>
    </row>
    <row r="752" spans="1:5" x14ac:dyDescent="0.25">
      <c r="A752" s="15" t="s">
        <v>45</v>
      </c>
      <c r="B752" s="17">
        <f t="shared" si="10"/>
        <v>41940</v>
      </c>
      <c r="C752" s="15">
        <v>2</v>
      </c>
      <c r="D752" s="15" t="s">
        <v>443</v>
      </c>
      <c r="E752" s="15">
        <v>1</v>
      </c>
    </row>
    <row r="753" spans="1:5" x14ac:dyDescent="0.25">
      <c r="A753" s="15" t="s">
        <v>45</v>
      </c>
      <c r="B753" s="17">
        <f t="shared" si="10"/>
        <v>41940</v>
      </c>
      <c r="C753" s="15">
        <v>1</v>
      </c>
      <c r="D753" s="15" t="s">
        <v>384</v>
      </c>
      <c r="E753" s="15">
        <v>13</v>
      </c>
    </row>
    <row r="754" spans="1:5" x14ac:dyDescent="0.25">
      <c r="A754" s="15" t="s">
        <v>45</v>
      </c>
      <c r="B754" s="17">
        <f t="shared" si="10"/>
        <v>41940</v>
      </c>
      <c r="C754" s="15">
        <v>2</v>
      </c>
      <c r="D754" s="15" t="s">
        <v>384</v>
      </c>
      <c r="E754" s="15">
        <v>12</v>
      </c>
    </row>
    <row r="755" spans="1:5" x14ac:dyDescent="0.25">
      <c r="A755" s="15" t="s">
        <v>45</v>
      </c>
      <c r="B755" s="17">
        <f t="shared" si="10"/>
        <v>41940</v>
      </c>
      <c r="C755" s="15">
        <v>1</v>
      </c>
      <c r="D755" s="15" t="s">
        <v>403</v>
      </c>
      <c r="E755" s="15">
        <v>18</v>
      </c>
    </row>
    <row r="756" spans="1:5" x14ac:dyDescent="0.25">
      <c r="A756" s="15" t="s">
        <v>45</v>
      </c>
      <c r="B756" s="17">
        <f t="shared" si="10"/>
        <v>41940</v>
      </c>
      <c r="C756" s="15">
        <v>2</v>
      </c>
      <c r="D756" s="15" t="s">
        <v>403</v>
      </c>
      <c r="E756" s="15">
        <v>12</v>
      </c>
    </row>
    <row r="757" spans="1:5" x14ac:dyDescent="0.25">
      <c r="A757" s="15" t="s">
        <v>45</v>
      </c>
      <c r="B757" s="17">
        <f t="shared" si="10"/>
        <v>41940</v>
      </c>
      <c r="C757" s="15">
        <v>2</v>
      </c>
      <c r="D757" s="15" t="s">
        <v>329</v>
      </c>
      <c r="E757" s="15">
        <v>5</v>
      </c>
    </row>
    <row r="758" spans="1:5" x14ac:dyDescent="0.25">
      <c r="A758" s="15" t="s">
        <v>45</v>
      </c>
      <c r="B758" s="17">
        <f t="shared" si="10"/>
        <v>41940</v>
      </c>
      <c r="C758" s="15">
        <v>1</v>
      </c>
      <c r="D758" s="15" t="s">
        <v>433</v>
      </c>
      <c r="E758" s="15">
        <v>2</v>
      </c>
    </row>
    <row r="759" spans="1:5" x14ac:dyDescent="0.25">
      <c r="A759" s="15" t="s">
        <v>45</v>
      </c>
      <c r="B759" s="17">
        <f t="shared" si="10"/>
        <v>41940</v>
      </c>
      <c r="C759" s="15">
        <v>1</v>
      </c>
      <c r="D759" s="15" t="s">
        <v>405</v>
      </c>
      <c r="E759" s="15">
        <v>1</v>
      </c>
    </row>
    <row r="760" spans="1:5" x14ac:dyDescent="0.25">
      <c r="A760" s="15" t="s">
        <v>45</v>
      </c>
      <c r="B760" s="17">
        <f t="shared" si="10"/>
        <v>41940</v>
      </c>
      <c r="C760" s="15">
        <v>1</v>
      </c>
      <c r="D760" s="15" t="s">
        <v>331</v>
      </c>
      <c r="E760" s="15">
        <v>2</v>
      </c>
    </row>
    <row r="761" spans="1:5" x14ac:dyDescent="0.25">
      <c r="A761" s="15" t="s">
        <v>45</v>
      </c>
      <c r="B761" s="17">
        <f t="shared" si="10"/>
        <v>41940</v>
      </c>
      <c r="C761" s="15">
        <v>2</v>
      </c>
      <c r="D761" s="15" t="s">
        <v>331</v>
      </c>
      <c r="E761" s="15">
        <v>2</v>
      </c>
    </row>
    <row r="762" spans="1:5" x14ac:dyDescent="0.25">
      <c r="A762" s="15" t="s">
        <v>45</v>
      </c>
      <c r="B762" s="17">
        <f t="shared" si="10"/>
        <v>41940</v>
      </c>
      <c r="C762" s="15">
        <v>1</v>
      </c>
      <c r="D762" s="15" t="s">
        <v>332</v>
      </c>
      <c r="E762" s="15">
        <v>1</v>
      </c>
    </row>
    <row r="763" spans="1:5" x14ac:dyDescent="0.25">
      <c r="A763" s="15" t="s">
        <v>45</v>
      </c>
      <c r="B763" s="17">
        <f t="shared" si="10"/>
        <v>41940</v>
      </c>
      <c r="C763" s="15">
        <v>1</v>
      </c>
      <c r="D763" s="15" t="s">
        <v>444</v>
      </c>
      <c r="E763" s="15">
        <v>1</v>
      </c>
    </row>
    <row r="764" spans="1:5" x14ac:dyDescent="0.25">
      <c r="A764" s="15" t="s">
        <v>45</v>
      </c>
      <c r="B764" s="17">
        <f t="shared" si="10"/>
        <v>41940</v>
      </c>
      <c r="C764" s="15">
        <v>2</v>
      </c>
      <c r="D764" s="15" t="s">
        <v>66</v>
      </c>
      <c r="E764" s="15">
        <v>1</v>
      </c>
    </row>
    <row r="765" spans="1:5" x14ac:dyDescent="0.25">
      <c r="A765" s="15" t="s">
        <v>45</v>
      </c>
      <c r="B765" s="17">
        <f t="shared" si="10"/>
        <v>41940</v>
      </c>
      <c r="C765" s="15">
        <v>1</v>
      </c>
      <c r="D765" s="15" t="s">
        <v>333</v>
      </c>
      <c r="E765" s="15">
        <v>9</v>
      </c>
    </row>
    <row r="766" spans="1:5" x14ac:dyDescent="0.25">
      <c r="A766" s="15" t="s">
        <v>45</v>
      </c>
      <c r="B766" s="17">
        <f t="shared" si="10"/>
        <v>41940</v>
      </c>
      <c r="C766" s="15">
        <v>2</v>
      </c>
      <c r="D766" s="15" t="s">
        <v>333</v>
      </c>
      <c r="E766" s="15">
        <v>21</v>
      </c>
    </row>
    <row r="767" spans="1:5" x14ac:dyDescent="0.25">
      <c r="A767" s="15" t="s">
        <v>45</v>
      </c>
      <c r="B767" s="17">
        <f t="shared" si="10"/>
        <v>41940</v>
      </c>
      <c r="C767" s="15">
        <v>1</v>
      </c>
      <c r="D767" s="15" t="s">
        <v>445</v>
      </c>
      <c r="E767" s="15">
        <v>1</v>
      </c>
    </row>
    <row r="768" spans="1:5" x14ac:dyDescent="0.25">
      <c r="A768" s="15" t="s">
        <v>45</v>
      </c>
      <c r="B768" s="17">
        <f t="shared" si="10"/>
        <v>41940</v>
      </c>
      <c r="C768" s="15">
        <v>1</v>
      </c>
      <c r="D768" s="15" t="s">
        <v>354</v>
      </c>
      <c r="E768" s="15">
        <v>1</v>
      </c>
    </row>
    <row r="769" spans="1:5" x14ac:dyDescent="0.25">
      <c r="A769" s="15" t="s">
        <v>45</v>
      </c>
      <c r="B769" s="17">
        <f t="shared" si="10"/>
        <v>41940</v>
      </c>
      <c r="C769" s="15">
        <v>1</v>
      </c>
      <c r="D769" s="15" t="s">
        <v>122</v>
      </c>
      <c r="E769" s="15">
        <v>2</v>
      </c>
    </row>
    <row r="770" spans="1:5" x14ac:dyDescent="0.25">
      <c r="A770" s="15" t="s">
        <v>45</v>
      </c>
      <c r="B770" s="17">
        <f t="shared" si="10"/>
        <v>41940</v>
      </c>
      <c r="C770" s="15">
        <v>1</v>
      </c>
      <c r="D770" s="15" t="s">
        <v>357</v>
      </c>
      <c r="E770" s="15">
        <v>10</v>
      </c>
    </row>
    <row r="771" spans="1:5" x14ac:dyDescent="0.25">
      <c r="A771" s="15" t="s">
        <v>45</v>
      </c>
      <c r="B771" s="17">
        <f t="shared" si="10"/>
        <v>41940</v>
      </c>
      <c r="C771" s="15">
        <v>2</v>
      </c>
      <c r="D771" s="15" t="s">
        <v>357</v>
      </c>
      <c r="E771" s="15">
        <v>6</v>
      </c>
    </row>
    <row r="772" spans="1:5" x14ac:dyDescent="0.25">
      <c r="A772" s="15" t="s">
        <v>45</v>
      </c>
      <c r="B772" s="17">
        <f t="shared" si="10"/>
        <v>41940</v>
      </c>
      <c r="C772" s="15">
        <v>1</v>
      </c>
      <c r="D772" s="15" t="s">
        <v>446</v>
      </c>
      <c r="E772" s="15">
        <v>3</v>
      </c>
    </row>
    <row r="773" spans="1:5" x14ac:dyDescent="0.25">
      <c r="A773" s="15" t="s">
        <v>45</v>
      </c>
      <c r="B773" s="17">
        <f t="shared" si="10"/>
        <v>41940</v>
      </c>
      <c r="C773" s="15">
        <v>2</v>
      </c>
      <c r="D773" s="15" t="s">
        <v>446</v>
      </c>
      <c r="E773" s="15">
        <v>1</v>
      </c>
    </row>
    <row r="774" spans="1:5" x14ac:dyDescent="0.25">
      <c r="A774" s="15" t="s">
        <v>45</v>
      </c>
      <c r="B774" s="17">
        <f t="shared" si="10"/>
        <v>41940</v>
      </c>
      <c r="C774" s="15">
        <v>2</v>
      </c>
      <c r="D774" s="15" t="s">
        <v>363</v>
      </c>
      <c r="E774" s="15">
        <v>1</v>
      </c>
    </row>
    <row r="775" spans="1:5" x14ac:dyDescent="0.25">
      <c r="A775" s="15" t="s">
        <v>45</v>
      </c>
      <c r="B775" s="17">
        <f t="shared" si="10"/>
        <v>41940</v>
      </c>
      <c r="C775" s="15">
        <v>1</v>
      </c>
      <c r="D775" s="15" t="s">
        <v>334</v>
      </c>
      <c r="E775" s="15">
        <v>1</v>
      </c>
    </row>
    <row r="776" spans="1:5" x14ac:dyDescent="0.25">
      <c r="A776" s="15" t="s">
        <v>45</v>
      </c>
      <c r="B776" s="17">
        <f t="shared" si="10"/>
        <v>41940</v>
      </c>
      <c r="C776" s="15">
        <v>2</v>
      </c>
      <c r="D776" s="15" t="s">
        <v>334</v>
      </c>
      <c r="E776" s="15">
        <v>2</v>
      </c>
    </row>
    <row r="777" spans="1:5" x14ac:dyDescent="0.25">
      <c r="A777" s="15" t="s">
        <v>45</v>
      </c>
      <c r="B777" s="17">
        <f t="shared" si="10"/>
        <v>41940</v>
      </c>
      <c r="C777" s="15">
        <v>2</v>
      </c>
      <c r="D777" s="15" t="s">
        <v>447</v>
      </c>
      <c r="E777" s="15">
        <v>1</v>
      </c>
    </row>
    <row r="778" spans="1:5" x14ac:dyDescent="0.25">
      <c r="A778" s="15" t="s">
        <v>45</v>
      </c>
      <c r="B778" s="17">
        <v>41942</v>
      </c>
      <c r="C778" s="15">
        <v>1</v>
      </c>
      <c r="D778" s="15" t="s">
        <v>97</v>
      </c>
      <c r="E778" s="15">
        <v>1</v>
      </c>
    </row>
    <row r="779" spans="1:5" x14ac:dyDescent="0.25">
      <c r="A779" s="15" t="s">
        <v>45</v>
      </c>
      <c r="B779" s="17">
        <f t="shared" ref="B779:B809" si="11">B778</f>
        <v>41942</v>
      </c>
      <c r="C779" s="15">
        <v>1</v>
      </c>
      <c r="D779" s="15" t="s">
        <v>76</v>
      </c>
      <c r="E779" s="15">
        <v>1</v>
      </c>
    </row>
    <row r="780" spans="1:5" x14ac:dyDescent="0.25">
      <c r="A780" s="15" t="s">
        <v>45</v>
      </c>
      <c r="B780" s="17">
        <f t="shared" si="11"/>
        <v>41942</v>
      </c>
      <c r="C780" s="15">
        <v>1</v>
      </c>
      <c r="D780" s="15" t="s">
        <v>326</v>
      </c>
      <c r="E780" s="15">
        <v>1</v>
      </c>
    </row>
    <row r="781" spans="1:5" x14ac:dyDescent="0.25">
      <c r="A781" s="15" t="s">
        <v>45</v>
      </c>
      <c r="B781" s="17">
        <f t="shared" si="11"/>
        <v>41942</v>
      </c>
      <c r="C781" s="15">
        <v>1</v>
      </c>
      <c r="D781" s="15" t="s">
        <v>448</v>
      </c>
      <c r="E781" s="15">
        <v>1</v>
      </c>
    </row>
    <row r="782" spans="1:5" x14ac:dyDescent="0.25">
      <c r="A782" s="15" t="s">
        <v>45</v>
      </c>
      <c r="B782" s="17">
        <f t="shared" si="11"/>
        <v>41942</v>
      </c>
      <c r="C782" s="15">
        <v>1</v>
      </c>
      <c r="D782" s="15" t="s">
        <v>449</v>
      </c>
      <c r="E782" s="15">
        <v>1</v>
      </c>
    </row>
    <row r="783" spans="1:5" x14ac:dyDescent="0.25">
      <c r="A783" s="15" t="s">
        <v>45</v>
      </c>
      <c r="B783" s="17">
        <f t="shared" si="11"/>
        <v>41942</v>
      </c>
      <c r="C783" s="15">
        <v>1</v>
      </c>
      <c r="D783" s="15" t="s">
        <v>429</v>
      </c>
      <c r="E783" s="15">
        <v>1</v>
      </c>
    </row>
    <row r="784" spans="1:5" x14ac:dyDescent="0.25">
      <c r="A784" s="15" t="s">
        <v>45</v>
      </c>
      <c r="B784" s="17">
        <f t="shared" si="11"/>
        <v>41942</v>
      </c>
      <c r="C784" s="15">
        <v>1</v>
      </c>
      <c r="D784" s="15" t="s">
        <v>450</v>
      </c>
      <c r="E784" s="15">
        <v>1</v>
      </c>
    </row>
    <row r="785" spans="1:5" x14ac:dyDescent="0.25">
      <c r="A785" s="15" t="s">
        <v>45</v>
      </c>
      <c r="B785" s="17">
        <f t="shared" si="11"/>
        <v>41942</v>
      </c>
      <c r="C785" s="15">
        <v>1</v>
      </c>
      <c r="D785" s="15" t="s">
        <v>83</v>
      </c>
      <c r="E785" s="15">
        <v>7</v>
      </c>
    </row>
    <row r="786" spans="1:5" x14ac:dyDescent="0.25">
      <c r="A786" s="15" t="s">
        <v>45</v>
      </c>
      <c r="B786" s="17">
        <f t="shared" si="11"/>
        <v>41942</v>
      </c>
      <c r="C786" s="15">
        <v>2</v>
      </c>
      <c r="D786" s="15" t="s">
        <v>83</v>
      </c>
      <c r="E786" s="15">
        <v>6</v>
      </c>
    </row>
    <row r="787" spans="1:5" x14ac:dyDescent="0.25">
      <c r="A787" s="15" t="s">
        <v>45</v>
      </c>
      <c r="B787" s="17">
        <f t="shared" si="11"/>
        <v>41942</v>
      </c>
      <c r="C787" s="15">
        <v>1</v>
      </c>
      <c r="D787" s="15" t="s">
        <v>430</v>
      </c>
      <c r="E787" s="15">
        <v>1</v>
      </c>
    </row>
    <row r="788" spans="1:5" x14ac:dyDescent="0.25">
      <c r="A788" s="15" t="s">
        <v>45</v>
      </c>
      <c r="B788" s="17">
        <f t="shared" si="11"/>
        <v>41942</v>
      </c>
      <c r="C788" s="15">
        <v>1</v>
      </c>
      <c r="D788" s="15" t="s">
        <v>384</v>
      </c>
      <c r="E788" s="15">
        <v>5</v>
      </c>
    </row>
    <row r="789" spans="1:5" x14ac:dyDescent="0.25">
      <c r="A789" s="15" t="s">
        <v>45</v>
      </c>
      <c r="B789" s="17">
        <f t="shared" si="11"/>
        <v>41942</v>
      </c>
      <c r="C789" s="15">
        <v>2</v>
      </c>
      <c r="D789" s="15" t="s">
        <v>384</v>
      </c>
      <c r="E789" s="15">
        <v>1</v>
      </c>
    </row>
    <row r="790" spans="1:5" x14ac:dyDescent="0.25">
      <c r="A790" s="15" t="s">
        <v>45</v>
      </c>
      <c r="B790" s="17">
        <f t="shared" si="11"/>
        <v>41942</v>
      </c>
      <c r="C790" s="15">
        <v>1</v>
      </c>
      <c r="D790" s="15" t="s">
        <v>451</v>
      </c>
      <c r="E790" s="15">
        <v>1</v>
      </c>
    </row>
    <row r="791" spans="1:5" x14ac:dyDescent="0.25">
      <c r="A791" s="15" t="s">
        <v>45</v>
      </c>
      <c r="B791" s="17">
        <f t="shared" si="11"/>
        <v>41942</v>
      </c>
      <c r="C791" s="15">
        <v>2</v>
      </c>
      <c r="D791" s="15" t="s">
        <v>451</v>
      </c>
      <c r="E791" s="15">
        <v>1</v>
      </c>
    </row>
    <row r="792" spans="1:5" x14ac:dyDescent="0.25">
      <c r="A792" s="15" t="s">
        <v>45</v>
      </c>
      <c r="B792" s="17">
        <f t="shared" si="11"/>
        <v>41942</v>
      </c>
      <c r="C792" s="15">
        <v>1</v>
      </c>
      <c r="D792" s="15" t="s">
        <v>433</v>
      </c>
      <c r="E792" s="15">
        <v>4</v>
      </c>
    </row>
    <row r="793" spans="1:5" x14ac:dyDescent="0.25">
      <c r="A793" s="15" t="s">
        <v>45</v>
      </c>
      <c r="B793" s="17">
        <f t="shared" si="11"/>
        <v>41942</v>
      </c>
      <c r="C793" s="15">
        <v>2</v>
      </c>
      <c r="D793" s="15" t="s">
        <v>433</v>
      </c>
      <c r="E793" s="15">
        <v>2</v>
      </c>
    </row>
    <row r="794" spans="1:5" x14ac:dyDescent="0.25">
      <c r="A794" s="15" t="s">
        <v>45</v>
      </c>
      <c r="B794" s="17">
        <f t="shared" si="11"/>
        <v>41942</v>
      </c>
      <c r="C794" s="15">
        <v>2</v>
      </c>
      <c r="D794" s="15" t="s">
        <v>351</v>
      </c>
      <c r="E794" s="15">
        <v>1</v>
      </c>
    </row>
    <row r="795" spans="1:5" x14ac:dyDescent="0.25">
      <c r="A795" s="15" t="s">
        <v>45</v>
      </c>
      <c r="B795" s="17">
        <f t="shared" si="11"/>
        <v>41942</v>
      </c>
      <c r="C795" s="15">
        <v>1</v>
      </c>
      <c r="D795" s="15" t="s">
        <v>331</v>
      </c>
      <c r="E795" s="15">
        <v>2</v>
      </c>
    </row>
    <row r="796" spans="1:5" x14ac:dyDescent="0.25">
      <c r="A796" s="15" t="s">
        <v>45</v>
      </c>
      <c r="B796" s="17">
        <f t="shared" si="11"/>
        <v>41942</v>
      </c>
      <c r="C796" s="15">
        <v>2</v>
      </c>
      <c r="D796" s="15" t="s">
        <v>331</v>
      </c>
      <c r="E796" s="15">
        <v>1</v>
      </c>
    </row>
    <row r="797" spans="1:5" x14ac:dyDescent="0.25">
      <c r="A797" s="15" t="s">
        <v>45</v>
      </c>
      <c r="B797" s="17">
        <f t="shared" si="11"/>
        <v>41942</v>
      </c>
      <c r="C797" s="15">
        <v>1</v>
      </c>
      <c r="D797" s="15" t="s">
        <v>332</v>
      </c>
      <c r="E797" s="15">
        <v>2</v>
      </c>
    </row>
    <row r="798" spans="1:5" x14ac:dyDescent="0.25">
      <c r="A798" s="15" t="s">
        <v>45</v>
      </c>
      <c r="B798" s="17">
        <f t="shared" si="11"/>
        <v>41942</v>
      </c>
      <c r="C798" s="15">
        <v>2</v>
      </c>
      <c r="D798" s="15" t="s">
        <v>332</v>
      </c>
      <c r="E798" s="15">
        <v>2</v>
      </c>
    </row>
    <row r="799" spans="1:5" x14ac:dyDescent="0.25">
      <c r="A799" s="15" t="s">
        <v>45</v>
      </c>
      <c r="B799" s="17">
        <f t="shared" si="11"/>
        <v>41942</v>
      </c>
      <c r="C799" s="15">
        <v>2</v>
      </c>
      <c r="D799" s="15" t="s">
        <v>452</v>
      </c>
      <c r="E799" s="15">
        <v>2</v>
      </c>
    </row>
    <row r="800" spans="1:5" x14ac:dyDescent="0.25">
      <c r="A800" s="15" t="s">
        <v>45</v>
      </c>
      <c r="B800" s="17">
        <f t="shared" si="11"/>
        <v>41942</v>
      </c>
      <c r="C800" s="15">
        <v>2</v>
      </c>
      <c r="D800" s="15" t="s">
        <v>66</v>
      </c>
      <c r="E800" s="15">
        <v>3</v>
      </c>
    </row>
    <row r="801" spans="1:5" x14ac:dyDescent="0.25">
      <c r="A801" s="15" t="s">
        <v>45</v>
      </c>
      <c r="B801" s="17">
        <f t="shared" si="11"/>
        <v>41942</v>
      </c>
      <c r="C801" s="15">
        <v>1</v>
      </c>
      <c r="D801" s="15" t="s">
        <v>345</v>
      </c>
      <c r="E801" s="15">
        <v>1</v>
      </c>
    </row>
    <row r="802" spans="1:5" x14ac:dyDescent="0.25">
      <c r="A802" s="15" t="s">
        <v>45</v>
      </c>
      <c r="B802" s="17">
        <f t="shared" si="11"/>
        <v>41942</v>
      </c>
      <c r="C802" s="15">
        <v>1</v>
      </c>
      <c r="D802" s="15" t="s">
        <v>333</v>
      </c>
      <c r="E802" s="15">
        <v>107</v>
      </c>
    </row>
    <row r="803" spans="1:5" x14ac:dyDescent="0.25">
      <c r="A803" s="15" t="s">
        <v>45</v>
      </c>
      <c r="B803" s="17">
        <f t="shared" si="11"/>
        <v>41942</v>
      </c>
      <c r="C803" s="15">
        <v>2</v>
      </c>
      <c r="D803" s="15" t="s">
        <v>333</v>
      </c>
      <c r="E803" s="15">
        <v>128</v>
      </c>
    </row>
    <row r="804" spans="1:5" x14ac:dyDescent="0.25">
      <c r="A804" s="15" t="s">
        <v>45</v>
      </c>
      <c r="B804" s="17">
        <f t="shared" si="11"/>
        <v>41942</v>
      </c>
      <c r="C804" s="15">
        <v>1</v>
      </c>
      <c r="D804" s="15" t="s">
        <v>445</v>
      </c>
      <c r="E804" s="15">
        <v>1</v>
      </c>
    </row>
    <row r="805" spans="1:5" x14ac:dyDescent="0.25">
      <c r="A805" s="15" t="s">
        <v>45</v>
      </c>
      <c r="B805" s="17">
        <f t="shared" si="11"/>
        <v>41942</v>
      </c>
      <c r="C805" s="15">
        <v>1</v>
      </c>
      <c r="D805" s="15" t="s">
        <v>453</v>
      </c>
      <c r="E805" s="15">
        <v>1</v>
      </c>
    </row>
    <row r="806" spans="1:5" x14ac:dyDescent="0.25">
      <c r="A806" s="15" t="s">
        <v>45</v>
      </c>
      <c r="B806" s="17">
        <f t="shared" si="11"/>
        <v>41942</v>
      </c>
      <c r="C806" s="15">
        <v>2</v>
      </c>
      <c r="D806" s="15" t="s">
        <v>453</v>
      </c>
      <c r="E806" s="15">
        <v>1</v>
      </c>
    </row>
    <row r="807" spans="1:5" x14ac:dyDescent="0.25">
      <c r="A807" s="15" t="s">
        <v>45</v>
      </c>
      <c r="B807" s="17">
        <f t="shared" si="11"/>
        <v>41942</v>
      </c>
      <c r="C807" s="15">
        <v>1</v>
      </c>
      <c r="D807" s="15" t="s">
        <v>374</v>
      </c>
      <c r="E807" s="15">
        <v>3</v>
      </c>
    </row>
    <row r="808" spans="1:5" x14ac:dyDescent="0.25">
      <c r="A808" s="15" t="s">
        <v>45</v>
      </c>
      <c r="B808" s="17">
        <f t="shared" si="11"/>
        <v>41942</v>
      </c>
      <c r="C808" s="15">
        <v>1</v>
      </c>
      <c r="D808" s="15" t="s">
        <v>447</v>
      </c>
      <c r="E808" s="15">
        <v>2</v>
      </c>
    </row>
    <row r="809" spans="1:5" x14ac:dyDescent="0.25">
      <c r="A809" s="15" t="s">
        <v>45</v>
      </c>
      <c r="B809" s="17">
        <f t="shared" si="11"/>
        <v>41942</v>
      </c>
      <c r="C809" s="15">
        <v>2</v>
      </c>
      <c r="D809" s="15" t="s">
        <v>447</v>
      </c>
      <c r="E809" s="15">
        <v>5</v>
      </c>
    </row>
    <row r="810" spans="1:5" x14ac:dyDescent="0.25">
      <c r="A810" s="15" t="s">
        <v>454</v>
      </c>
      <c r="B810" s="17">
        <v>41940</v>
      </c>
      <c r="C810" s="15">
        <v>1</v>
      </c>
      <c r="D810" s="15" t="s">
        <v>337</v>
      </c>
      <c r="E810" s="15">
        <v>1</v>
      </c>
    </row>
    <row r="811" spans="1:5" x14ac:dyDescent="0.25">
      <c r="A811" s="15" t="s">
        <v>454</v>
      </c>
      <c r="B811" s="17">
        <f t="shared" ref="B811:B856" si="12">B810</f>
        <v>41940</v>
      </c>
      <c r="C811" s="15">
        <v>2</v>
      </c>
      <c r="D811" s="15" t="s">
        <v>337</v>
      </c>
      <c r="E811" s="15">
        <v>6</v>
      </c>
    </row>
    <row r="812" spans="1:5" x14ac:dyDescent="0.25">
      <c r="A812" s="15" t="s">
        <v>454</v>
      </c>
      <c r="B812" s="17">
        <f t="shared" si="12"/>
        <v>41940</v>
      </c>
      <c r="C812" s="15">
        <v>2</v>
      </c>
      <c r="D812" s="15" t="s">
        <v>325</v>
      </c>
      <c r="E812" s="15">
        <v>2</v>
      </c>
    </row>
    <row r="813" spans="1:5" x14ac:dyDescent="0.25">
      <c r="A813" s="15" t="s">
        <v>454</v>
      </c>
      <c r="B813" s="17">
        <f t="shared" si="12"/>
        <v>41940</v>
      </c>
      <c r="C813" s="15">
        <v>1</v>
      </c>
      <c r="D813" s="15" t="s">
        <v>326</v>
      </c>
      <c r="E813" s="15">
        <v>1</v>
      </c>
    </row>
    <row r="814" spans="1:5" x14ac:dyDescent="0.25">
      <c r="A814" s="15" t="s">
        <v>454</v>
      </c>
      <c r="B814" s="17">
        <f t="shared" si="12"/>
        <v>41940</v>
      </c>
      <c r="C814" s="15">
        <v>1</v>
      </c>
      <c r="D814" s="15" t="s">
        <v>429</v>
      </c>
      <c r="E814" s="15">
        <v>1</v>
      </c>
    </row>
    <row r="815" spans="1:5" x14ac:dyDescent="0.25">
      <c r="A815" s="15" t="s">
        <v>454</v>
      </c>
      <c r="B815" s="17">
        <f t="shared" si="12"/>
        <v>41940</v>
      </c>
      <c r="C815" s="15">
        <v>2</v>
      </c>
      <c r="D815" s="15" t="s">
        <v>429</v>
      </c>
      <c r="E815" s="15">
        <v>4</v>
      </c>
    </row>
    <row r="816" spans="1:5" x14ac:dyDescent="0.25">
      <c r="A816" s="15" t="s">
        <v>454</v>
      </c>
      <c r="B816" s="17">
        <f t="shared" si="12"/>
        <v>41940</v>
      </c>
      <c r="C816" s="15">
        <v>1</v>
      </c>
      <c r="D816" s="15" t="s">
        <v>376</v>
      </c>
      <c r="E816" s="15">
        <v>1</v>
      </c>
    </row>
    <row r="817" spans="1:5" x14ac:dyDescent="0.25">
      <c r="A817" s="15" t="s">
        <v>454</v>
      </c>
      <c r="B817" s="17">
        <f t="shared" si="12"/>
        <v>41940</v>
      </c>
      <c r="C817" s="15">
        <v>2</v>
      </c>
      <c r="D817" s="15" t="s">
        <v>376</v>
      </c>
      <c r="E817" s="15">
        <v>8</v>
      </c>
    </row>
    <row r="818" spans="1:5" x14ac:dyDescent="0.25">
      <c r="A818" s="15" t="s">
        <v>454</v>
      </c>
      <c r="B818" s="17">
        <f t="shared" si="12"/>
        <v>41940</v>
      </c>
      <c r="C818" s="15">
        <v>1</v>
      </c>
      <c r="D818" s="15" t="s">
        <v>455</v>
      </c>
      <c r="E818" s="15">
        <v>1</v>
      </c>
    </row>
    <row r="819" spans="1:5" x14ac:dyDescent="0.25">
      <c r="A819" s="15" t="s">
        <v>454</v>
      </c>
      <c r="B819" s="17">
        <f t="shared" si="12"/>
        <v>41940</v>
      </c>
      <c r="C819" s="15">
        <v>2</v>
      </c>
      <c r="D819" s="15" t="s">
        <v>455</v>
      </c>
      <c r="E819" s="15">
        <v>1</v>
      </c>
    </row>
    <row r="820" spans="1:5" x14ac:dyDescent="0.25">
      <c r="A820" s="15" t="s">
        <v>454</v>
      </c>
      <c r="B820" s="17">
        <f t="shared" si="12"/>
        <v>41940</v>
      </c>
      <c r="C820" s="15">
        <v>2</v>
      </c>
      <c r="D820" s="15" t="s">
        <v>456</v>
      </c>
      <c r="E820" s="15">
        <v>1</v>
      </c>
    </row>
    <row r="821" spans="1:5" x14ac:dyDescent="0.25">
      <c r="A821" s="15" t="s">
        <v>454</v>
      </c>
      <c r="B821" s="17">
        <f t="shared" si="12"/>
        <v>41940</v>
      </c>
      <c r="C821" s="15">
        <v>1</v>
      </c>
      <c r="D821" s="15" t="s">
        <v>349</v>
      </c>
      <c r="E821" s="15">
        <v>3</v>
      </c>
    </row>
    <row r="822" spans="1:5" x14ac:dyDescent="0.25">
      <c r="A822" s="15" t="s">
        <v>454</v>
      </c>
      <c r="B822" s="17">
        <f t="shared" si="12"/>
        <v>41940</v>
      </c>
      <c r="C822" s="15">
        <v>2</v>
      </c>
      <c r="D822" s="15" t="s">
        <v>349</v>
      </c>
      <c r="E822" s="15">
        <v>1</v>
      </c>
    </row>
    <row r="823" spans="1:5" x14ac:dyDescent="0.25">
      <c r="A823" s="15" t="s">
        <v>454</v>
      </c>
      <c r="B823" s="17">
        <f t="shared" si="12"/>
        <v>41940</v>
      </c>
      <c r="C823" s="15">
        <v>1</v>
      </c>
      <c r="D823" s="15" t="s">
        <v>381</v>
      </c>
      <c r="E823" s="15">
        <v>2</v>
      </c>
    </row>
    <row r="824" spans="1:5" x14ac:dyDescent="0.25">
      <c r="A824" s="15" t="s">
        <v>454</v>
      </c>
      <c r="B824" s="17">
        <f t="shared" si="12"/>
        <v>41940</v>
      </c>
      <c r="C824" s="15">
        <v>2</v>
      </c>
      <c r="D824" s="15" t="s">
        <v>381</v>
      </c>
      <c r="E824" s="15">
        <v>1</v>
      </c>
    </row>
    <row r="825" spans="1:5" x14ac:dyDescent="0.25">
      <c r="A825" s="15" t="s">
        <v>454</v>
      </c>
      <c r="B825" s="17">
        <f t="shared" si="12"/>
        <v>41940</v>
      </c>
      <c r="C825" s="15">
        <v>1</v>
      </c>
      <c r="D825" s="15" t="s">
        <v>457</v>
      </c>
      <c r="E825" s="15">
        <v>1</v>
      </c>
    </row>
    <row r="826" spans="1:5" x14ac:dyDescent="0.25">
      <c r="A826" s="15" t="s">
        <v>454</v>
      </c>
      <c r="B826" s="17">
        <f t="shared" si="12"/>
        <v>41940</v>
      </c>
      <c r="C826" s="15">
        <v>1</v>
      </c>
      <c r="D826" s="15" t="s">
        <v>458</v>
      </c>
      <c r="E826" s="15">
        <v>1</v>
      </c>
    </row>
    <row r="827" spans="1:5" x14ac:dyDescent="0.25">
      <c r="A827" s="15" t="s">
        <v>454</v>
      </c>
      <c r="B827" s="17">
        <f t="shared" si="12"/>
        <v>41940</v>
      </c>
      <c r="C827" s="15">
        <v>2</v>
      </c>
      <c r="D827" s="15" t="s">
        <v>458</v>
      </c>
      <c r="E827" s="15">
        <v>2</v>
      </c>
    </row>
    <row r="828" spans="1:5" x14ac:dyDescent="0.25">
      <c r="A828" s="15" t="s">
        <v>454</v>
      </c>
      <c r="B828" s="17">
        <f t="shared" si="12"/>
        <v>41940</v>
      </c>
      <c r="C828" s="15">
        <v>1</v>
      </c>
      <c r="D828" s="15" t="s">
        <v>83</v>
      </c>
      <c r="E828" s="15">
        <v>5</v>
      </c>
    </row>
    <row r="829" spans="1:5" x14ac:dyDescent="0.25">
      <c r="A829" s="15" t="s">
        <v>454</v>
      </c>
      <c r="B829" s="17">
        <f t="shared" si="12"/>
        <v>41940</v>
      </c>
      <c r="C829" s="15">
        <v>2</v>
      </c>
      <c r="D829" s="15" t="s">
        <v>83</v>
      </c>
      <c r="E829" s="15">
        <v>1</v>
      </c>
    </row>
    <row r="830" spans="1:5" x14ac:dyDescent="0.25">
      <c r="A830" s="15" t="s">
        <v>454</v>
      </c>
      <c r="B830" s="17">
        <f t="shared" si="12"/>
        <v>41940</v>
      </c>
      <c r="C830" s="15">
        <v>1</v>
      </c>
      <c r="D830" s="15" t="s">
        <v>430</v>
      </c>
      <c r="E830" s="15">
        <v>17</v>
      </c>
    </row>
    <row r="831" spans="1:5" x14ac:dyDescent="0.25">
      <c r="A831" s="15" t="s">
        <v>454</v>
      </c>
      <c r="B831" s="17">
        <f t="shared" si="12"/>
        <v>41940</v>
      </c>
      <c r="C831" s="15">
        <v>2</v>
      </c>
      <c r="D831" s="15" t="s">
        <v>430</v>
      </c>
      <c r="E831" s="15">
        <v>25</v>
      </c>
    </row>
    <row r="832" spans="1:5" x14ac:dyDescent="0.25">
      <c r="A832" s="15" t="s">
        <v>454</v>
      </c>
      <c r="B832" s="17">
        <f t="shared" si="12"/>
        <v>41940</v>
      </c>
      <c r="C832" s="15">
        <v>1</v>
      </c>
      <c r="D832" s="15" t="s">
        <v>431</v>
      </c>
      <c r="E832" s="15">
        <v>3</v>
      </c>
    </row>
    <row r="833" spans="1:5" x14ac:dyDescent="0.25">
      <c r="A833" s="15" t="s">
        <v>454</v>
      </c>
      <c r="B833" s="17">
        <f t="shared" si="12"/>
        <v>41940</v>
      </c>
      <c r="C833" s="15">
        <v>2</v>
      </c>
      <c r="D833" s="15" t="s">
        <v>431</v>
      </c>
      <c r="E833" s="15">
        <v>5</v>
      </c>
    </row>
    <row r="834" spans="1:5" x14ac:dyDescent="0.25">
      <c r="A834" s="15" t="s">
        <v>454</v>
      </c>
      <c r="B834" s="17">
        <f t="shared" si="12"/>
        <v>41940</v>
      </c>
      <c r="C834" s="15">
        <v>1</v>
      </c>
      <c r="D834" s="15" t="s">
        <v>383</v>
      </c>
      <c r="E834" s="15">
        <v>1</v>
      </c>
    </row>
    <row r="835" spans="1:5" x14ac:dyDescent="0.25">
      <c r="A835" s="15" t="s">
        <v>454</v>
      </c>
      <c r="B835" s="17">
        <f t="shared" si="12"/>
        <v>41940</v>
      </c>
      <c r="C835" s="15">
        <v>2</v>
      </c>
      <c r="D835" s="15" t="s">
        <v>383</v>
      </c>
      <c r="E835" s="15">
        <v>1</v>
      </c>
    </row>
    <row r="836" spans="1:5" x14ac:dyDescent="0.25">
      <c r="A836" s="15" t="s">
        <v>454</v>
      </c>
      <c r="B836" s="17">
        <f t="shared" si="12"/>
        <v>41940</v>
      </c>
      <c r="C836" s="15">
        <v>1</v>
      </c>
      <c r="D836" s="15" t="s">
        <v>342</v>
      </c>
      <c r="E836" s="15">
        <v>1</v>
      </c>
    </row>
    <row r="837" spans="1:5" x14ac:dyDescent="0.25">
      <c r="A837" s="15" t="s">
        <v>454</v>
      </c>
      <c r="B837" s="17">
        <f t="shared" si="12"/>
        <v>41940</v>
      </c>
      <c r="C837" s="15">
        <v>2</v>
      </c>
      <c r="D837" s="15" t="s">
        <v>342</v>
      </c>
      <c r="E837" s="15">
        <v>1</v>
      </c>
    </row>
    <row r="838" spans="1:5" x14ac:dyDescent="0.25">
      <c r="A838" s="15" t="s">
        <v>454</v>
      </c>
      <c r="B838" s="17">
        <f t="shared" si="12"/>
        <v>41940</v>
      </c>
      <c r="C838" s="15">
        <v>1</v>
      </c>
      <c r="D838" s="15" t="s">
        <v>384</v>
      </c>
      <c r="E838" s="15">
        <v>4</v>
      </c>
    </row>
    <row r="839" spans="1:5" x14ac:dyDescent="0.25">
      <c r="A839" s="15" t="s">
        <v>454</v>
      </c>
      <c r="B839" s="17">
        <f t="shared" si="12"/>
        <v>41940</v>
      </c>
      <c r="C839" s="15">
        <v>2</v>
      </c>
      <c r="D839" s="15" t="s">
        <v>384</v>
      </c>
      <c r="E839" s="15">
        <v>5</v>
      </c>
    </row>
    <row r="840" spans="1:5" x14ac:dyDescent="0.25">
      <c r="A840" s="15" t="s">
        <v>454</v>
      </c>
      <c r="B840" s="17">
        <f t="shared" si="12"/>
        <v>41940</v>
      </c>
      <c r="C840" s="15">
        <v>1</v>
      </c>
      <c r="D840" s="15" t="s">
        <v>403</v>
      </c>
      <c r="E840" s="15">
        <v>1</v>
      </c>
    </row>
    <row r="841" spans="1:5" x14ac:dyDescent="0.25">
      <c r="A841" s="15" t="s">
        <v>454</v>
      </c>
      <c r="B841" s="17">
        <f t="shared" si="12"/>
        <v>41940</v>
      </c>
      <c r="C841" s="15">
        <v>2</v>
      </c>
      <c r="D841" s="15" t="s">
        <v>403</v>
      </c>
      <c r="E841" s="15">
        <v>1</v>
      </c>
    </row>
    <row r="842" spans="1:5" x14ac:dyDescent="0.25">
      <c r="A842" s="15" t="s">
        <v>454</v>
      </c>
      <c r="B842" s="17">
        <f t="shared" si="12"/>
        <v>41940</v>
      </c>
      <c r="C842" s="15">
        <v>1</v>
      </c>
      <c r="D842" s="15" t="s">
        <v>331</v>
      </c>
      <c r="E842" s="15">
        <v>70</v>
      </c>
    </row>
    <row r="843" spans="1:5" x14ac:dyDescent="0.25">
      <c r="A843" s="15" t="s">
        <v>454</v>
      </c>
      <c r="B843" s="17">
        <f t="shared" si="12"/>
        <v>41940</v>
      </c>
      <c r="C843" s="15">
        <v>2</v>
      </c>
      <c r="D843" s="15" t="s">
        <v>331</v>
      </c>
      <c r="E843" s="15">
        <v>53</v>
      </c>
    </row>
    <row r="844" spans="1:5" x14ac:dyDescent="0.25">
      <c r="A844" s="15" t="s">
        <v>454</v>
      </c>
      <c r="B844" s="17">
        <f t="shared" si="12"/>
        <v>41940</v>
      </c>
      <c r="C844" s="15">
        <v>1</v>
      </c>
      <c r="D844" s="15" t="s">
        <v>66</v>
      </c>
      <c r="E844" s="15">
        <v>8</v>
      </c>
    </row>
    <row r="845" spans="1:5" x14ac:dyDescent="0.25">
      <c r="A845" s="15" t="s">
        <v>454</v>
      </c>
      <c r="B845" s="17">
        <f t="shared" si="12"/>
        <v>41940</v>
      </c>
      <c r="C845" s="15">
        <v>2</v>
      </c>
      <c r="D845" s="15" t="s">
        <v>66</v>
      </c>
      <c r="E845" s="15">
        <v>10</v>
      </c>
    </row>
    <row r="846" spans="1:5" x14ac:dyDescent="0.25">
      <c r="A846" s="15" t="s">
        <v>454</v>
      </c>
      <c r="B846" s="17">
        <f t="shared" si="12"/>
        <v>41940</v>
      </c>
      <c r="C846" s="15">
        <v>1</v>
      </c>
      <c r="D846" s="15" t="s">
        <v>333</v>
      </c>
      <c r="E846" s="15">
        <v>14</v>
      </c>
    </row>
    <row r="847" spans="1:5" x14ac:dyDescent="0.25">
      <c r="A847" s="15" t="s">
        <v>454</v>
      </c>
      <c r="B847" s="17">
        <f t="shared" si="12"/>
        <v>41940</v>
      </c>
      <c r="C847" s="15">
        <v>2</v>
      </c>
      <c r="D847" s="15" t="s">
        <v>333</v>
      </c>
      <c r="E847" s="15">
        <v>21</v>
      </c>
    </row>
    <row r="848" spans="1:5" x14ac:dyDescent="0.25">
      <c r="A848" s="15" t="s">
        <v>454</v>
      </c>
      <c r="B848" s="17">
        <f t="shared" si="12"/>
        <v>41940</v>
      </c>
      <c r="C848" s="15">
        <v>1</v>
      </c>
      <c r="D848" s="15" t="s">
        <v>453</v>
      </c>
      <c r="E848" s="15">
        <v>1</v>
      </c>
    </row>
    <row r="849" spans="1:5" x14ac:dyDescent="0.25">
      <c r="A849" s="15" t="s">
        <v>454</v>
      </c>
      <c r="B849" s="17">
        <f t="shared" si="12"/>
        <v>41940</v>
      </c>
      <c r="C849" s="15">
        <v>1</v>
      </c>
      <c r="D849" s="15" t="s">
        <v>354</v>
      </c>
      <c r="E849" s="15">
        <v>1</v>
      </c>
    </row>
    <row r="850" spans="1:5" x14ac:dyDescent="0.25">
      <c r="A850" s="15" t="s">
        <v>454</v>
      </c>
      <c r="B850" s="17">
        <f t="shared" si="12"/>
        <v>41940</v>
      </c>
      <c r="C850" s="15">
        <v>2</v>
      </c>
      <c r="D850" s="15" t="s">
        <v>354</v>
      </c>
      <c r="E850" s="15">
        <v>1</v>
      </c>
    </row>
    <row r="851" spans="1:5" x14ac:dyDescent="0.25">
      <c r="A851" s="15" t="s">
        <v>454</v>
      </c>
      <c r="B851" s="17">
        <f t="shared" si="12"/>
        <v>41940</v>
      </c>
      <c r="C851" s="15">
        <v>1</v>
      </c>
      <c r="D851" s="15" t="s">
        <v>357</v>
      </c>
      <c r="E851" s="15">
        <v>1</v>
      </c>
    </row>
    <row r="852" spans="1:5" x14ac:dyDescent="0.25">
      <c r="A852" s="15" t="s">
        <v>454</v>
      </c>
      <c r="B852" s="17">
        <f t="shared" si="12"/>
        <v>41940</v>
      </c>
      <c r="C852" s="15">
        <v>1</v>
      </c>
      <c r="D852" s="15" t="s">
        <v>361</v>
      </c>
      <c r="E852" s="15">
        <v>1</v>
      </c>
    </row>
    <row r="853" spans="1:5" x14ac:dyDescent="0.25">
      <c r="A853" s="15" t="s">
        <v>454</v>
      </c>
      <c r="B853" s="17">
        <f t="shared" si="12"/>
        <v>41940</v>
      </c>
      <c r="C853" s="15">
        <v>1</v>
      </c>
      <c r="D853" s="15" t="s">
        <v>374</v>
      </c>
      <c r="E853" s="15">
        <v>2</v>
      </c>
    </row>
    <row r="854" spans="1:5" x14ac:dyDescent="0.25">
      <c r="A854" s="15" t="s">
        <v>454</v>
      </c>
      <c r="B854" s="17">
        <f t="shared" si="12"/>
        <v>41940</v>
      </c>
      <c r="C854" s="15">
        <v>1</v>
      </c>
      <c r="D854" s="15" t="s">
        <v>459</v>
      </c>
      <c r="E854" s="15">
        <v>1</v>
      </c>
    </row>
    <row r="855" spans="1:5" x14ac:dyDescent="0.25">
      <c r="A855" s="15" t="s">
        <v>454</v>
      </c>
      <c r="B855" s="17">
        <f t="shared" si="12"/>
        <v>41940</v>
      </c>
      <c r="C855" s="15">
        <v>2</v>
      </c>
      <c r="D855" s="15" t="s">
        <v>459</v>
      </c>
      <c r="E855" s="15">
        <v>1</v>
      </c>
    </row>
    <row r="856" spans="1:5" x14ac:dyDescent="0.25">
      <c r="A856" s="15" t="s">
        <v>454</v>
      </c>
      <c r="B856" s="17">
        <f t="shared" si="12"/>
        <v>41940</v>
      </c>
      <c r="C856" s="15">
        <v>1</v>
      </c>
      <c r="D856" s="15" t="s">
        <v>447</v>
      </c>
      <c r="E856" s="15">
        <v>1</v>
      </c>
    </row>
    <row r="857" spans="1:5" x14ac:dyDescent="0.25">
      <c r="A857" s="15" t="s">
        <v>45</v>
      </c>
      <c r="B857" s="17">
        <v>41942</v>
      </c>
      <c r="C857" s="15">
        <v>1</v>
      </c>
      <c r="D857" s="15" t="s">
        <v>97</v>
      </c>
      <c r="E857" s="15">
        <v>1</v>
      </c>
    </row>
    <row r="858" spans="1:5" x14ac:dyDescent="0.25">
      <c r="A858" s="15" t="s">
        <v>45</v>
      </c>
      <c r="B858" s="17">
        <f t="shared" ref="B858:B900" si="13">B857</f>
        <v>41942</v>
      </c>
      <c r="C858" s="15">
        <v>2</v>
      </c>
      <c r="D858" s="15" t="s">
        <v>97</v>
      </c>
      <c r="E858" s="15">
        <v>1</v>
      </c>
    </row>
    <row r="859" spans="1:5" x14ac:dyDescent="0.25">
      <c r="A859" s="15" t="s">
        <v>45</v>
      </c>
      <c r="B859" s="17">
        <f t="shared" si="13"/>
        <v>41942</v>
      </c>
      <c r="C859" s="15">
        <v>1</v>
      </c>
      <c r="D859" s="15" t="s">
        <v>337</v>
      </c>
      <c r="E859" s="15">
        <v>1</v>
      </c>
    </row>
    <row r="860" spans="1:5" x14ac:dyDescent="0.25">
      <c r="A860" s="15" t="s">
        <v>45</v>
      </c>
      <c r="B860" s="17">
        <f t="shared" si="13"/>
        <v>41942</v>
      </c>
      <c r="C860" s="15">
        <v>2</v>
      </c>
      <c r="D860" s="15" t="s">
        <v>326</v>
      </c>
      <c r="E860" s="15">
        <v>1</v>
      </c>
    </row>
    <row r="861" spans="1:5" x14ac:dyDescent="0.25">
      <c r="A861" s="15" t="s">
        <v>45</v>
      </c>
      <c r="B861" s="17">
        <f t="shared" si="13"/>
        <v>41942</v>
      </c>
      <c r="C861" s="15">
        <v>1</v>
      </c>
      <c r="D861" s="15" t="s">
        <v>460</v>
      </c>
      <c r="E861" s="15">
        <v>1</v>
      </c>
    </row>
    <row r="862" spans="1:5" x14ac:dyDescent="0.25">
      <c r="A862" s="15" t="s">
        <v>45</v>
      </c>
      <c r="B862" s="17">
        <f t="shared" si="13"/>
        <v>41942</v>
      </c>
      <c r="C862" s="15">
        <v>2</v>
      </c>
      <c r="D862" s="15" t="s">
        <v>461</v>
      </c>
      <c r="E862" s="15">
        <v>1</v>
      </c>
    </row>
    <row r="863" spans="1:5" x14ac:dyDescent="0.25">
      <c r="A863" s="15" t="s">
        <v>45</v>
      </c>
      <c r="B863" s="17">
        <f t="shared" si="13"/>
        <v>41942</v>
      </c>
      <c r="C863" s="15">
        <v>1</v>
      </c>
      <c r="D863" s="15" t="s">
        <v>376</v>
      </c>
      <c r="E863" s="15">
        <v>5</v>
      </c>
    </row>
    <row r="864" spans="1:5" x14ac:dyDescent="0.25">
      <c r="A864" s="15" t="s">
        <v>45</v>
      </c>
      <c r="B864" s="17">
        <f t="shared" si="13"/>
        <v>41942</v>
      </c>
      <c r="C864" s="15">
        <v>2</v>
      </c>
      <c r="D864" s="15" t="s">
        <v>376</v>
      </c>
      <c r="E864" s="15">
        <v>3</v>
      </c>
    </row>
    <row r="865" spans="1:5" x14ac:dyDescent="0.25">
      <c r="A865" s="15" t="s">
        <v>45</v>
      </c>
      <c r="B865" s="17">
        <f t="shared" si="13"/>
        <v>41942</v>
      </c>
      <c r="C865" s="15">
        <v>1</v>
      </c>
      <c r="D865" s="15" t="s">
        <v>389</v>
      </c>
      <c r="E865" s="15">
        <v>3</v>
      </c>
    </row>
    <row r="866" spans="1:5" x14ac:dyDescent="0.25">
      <c r="A866" s="15" t="s">
        <v>45</v>
      </c>
      <c r="B866" s="17">
        <f t="shared" si="13"/>
        <v>41942</v>
      </c>
      <c r="C866" s="15">
        <v>2</v>
      </c>
      <c r="D866" s="15" t="s">
        <v>389</v>
      </c>
      <c r="E866" s="15">
        <v>4</v>
      </c>
    </row>
    <row r="867" spans="1:5" x14ac:dyDescent="0.25">
      <c r="A867" s="15" t="s">
        <v>45</v>
      </c>
      <c r="B867" s="17">
        <f t="shared" si="13"/>
        <v>41942</v>
      </c>
      <c r="C867" s="15">
        <v>1</v>
      </c>
      <c r="D867" s="15" t="s">
        <v>350</v>
      </c>
      <c r="E867" s="15">
        <v>2</v>
      </c>
    </row>
    <row r="868" spans="1:5" x14ac:dyDescent="0.25">
      <c r="A868" s="15" t="s">
        <v>45</v>
      </c>
      <c r="B868" s="17">
        <f t="shared" si="13"/>
        <v>41942</v>
      </c>
      <c r="C868" s="15">
        <v>1</v>
      </c>
      <c r="D868" s="15" t="s">
        <v>83</v>
      </c>
      <c r="E868" s="15">
        <v>38</v>
      </c>
    </row>
    <row r="869" spans="1:5" x14ac:dyDescent="0.25">
      <c r="A869" s="15" t="s">
        <v>45</v>
      </c>
      <c r="B869" s="17">
        <f t="shared" si="13"/>
        <v>41942</v>
      </c>
      <c r="C869" s="15">
        <v>2</v>
      </c>
      <c r="D869" s="15" t="s">
        <v>83</v>
      </c>
      <c r="E869" s="15">
        <v>44</v>
      </c>
    </row>
    <row r="870" spans="1:5" x14ac:dyDescent="0.25">
      <c r="A870" s="15" t="s">
        <v>45</v>
      </c>
      <c r="B870" s="17">
        <f t="shared" si="13"/>
        <v>41942</v>
      </c>
      <c r="C870" s="15">
        <v>1</v>
      </c>
      <c r="D870" s="15" t="s">
        <v>430</v>
      </c>
      <c r="E870" s="15">
        <v>9</v>
      </c>
    </row>
    <row r="871" spans="1:5" x14ac:dyDescent="0.25">
      <c r="A871" s="15" t="s">
        <v>45</v>
      </c>
      <c r="B871" s="17">
        <f t="shared" si="13"/>
        <v>41942</v>
      </c>
      <c r="C871" s="15">
        <v>2</v>
      </c>
      <c r="D871" s="15" t="s">
        <v>430</v>
      </c>
      <c r="E871" s="15">
        <v>7</v>
      </c>
    </row>
    <row r="872" spans="1:5" x14ac:dyDescent="0.25">
      <c r="A872" s="15" t="s">
        <v>45</v>
      </c>
      <c r="B872" s="17">
        <f t="shared" si="13"/>
        <v>41942</v>
      </c>
      <c r="C872" s="15">
        <v>1</v>
      </c>
      <c r="D872" s="15" t="s">
        <v>431</v>
      </c>
      <c r="E872" s="15">
        <v>1</v>
      </c>
    </row>
    <row r="873" spans="1:5" x14ac:dyDescent="0.25">
      <c r="A873" s="15" t="s">
        <v>45</v>
      </c>
      <c r="B873" s="17">
        <f t="shared" si="13"/>
        <v>41942</v>
      </c>
      <c r="C873" s="15">
        <v>2</v>
      </c>
      <c r="D873" s="15" t="s">
        <v>431</v>
      </c>
      <c r="E873" s="15">
        <v>2</v>
      </c>
    </row>
    <row r="874" spans="1:5" x14ac:dyDescent="0.25">
      <c r="A874" s="15" t="s">
        <v>45</v>
      </c>
      <c r="B874" s="17">
        <f t="shared" si="13"/>
        <v>41942</v>
      </c>
      <c r="C874" s="15">
        <v>1</v>
      </c>
      <c r="D874" s="15" t="s">
        <v>462</v>
      </c>
      <c r="E874" s="15">
        <v>1</v>
      </c>
    </row>
    <row r="875" spans="1:5" x14ac:dyDescent="0.25">
      <c r="A875" s="15" t="s">
        <v>45</v>
      </c>
      <c r="B875" s="17">
        <f t="shared" si="13"/>
        <v>41942</v>
      </c>
      <c r="C875" s="15">
        <v>1</v>
      </c>
      <c r="D875" s="15" t="s">
        <v>342</v>
      </c>
      <c r="E875" s="15">
        <v>1</v>
      </c>
    </row>
    <row r="876" spans="1:5" x14ac:dyDescent="0.25">
      <c r="A876" s="15" t="s">
        <v>45</v>
      </c>
      <c r="B876" s="17">
        <f t="shared" si="13"/>
        <v>41942</v>
      </c>
      <c r="C876" s="15">
        <v>1</v>
      </c>
      <c r="D876" s="15" t="s">
        <v>463</v>
      </c>
      <c r="E876" s="15">
        <v>1</v>
      </c>
    </row>
    <row r="877" spans="1:5" x14ac:dyDescent="0.25">
      <c r="A877" s="15" t="s">
        <v>45</v>
      </c>
      <c r="B877" s="17">
        <f t="shared" si="13"/>
        <v>41942</v>
      </c>
      <c r="C877" s="15">
        <v>1</v>
      </c>
      <c r="D877" s="15" t="s">
        <v>384</v>
      </c>
      <c r="E877" s="15">
        <v>9</v>
      </c>
    </row>
    <row r="878" spans="1:5" x14ac:dyDescent="0.25">
      <c r="A878" s="15" t="s">
        <v>45</v>
      </c>
      <c r="B878" s="17">
        <f t="shared" si="13"/>
        <v>41942</v>
      </c>
      <c r="C878" s="15">
        <v>2</v>
      </c>
      <c r="D878" s="15" t="s">
        <v>384</v>
      </c>
      <c r="E878" s="15">
        <v>7</v>
      </c>
    </row>
    <row r="879" spans="1:5" x14ac:dyDescent="0.25">
      <c r="A879" s="15" t="s">
        <v>45</v>
      </c>
      <c r="B879" s="17">
        <f t="shared" si="13"/>
        <v>41942</v>
      </c>
      <c r="C879" s="15">
        <v>1</v>
      </c>
      <c r="D879" s="15" t="s">
        <v>403</v>
      </c>
      <c r="E879" s="15">
        <v>2</v>
      </c>
    </row>
    <row r="880" spans="1:5" x14ac:dyDescent="0.25">
      <c r="A880" s="15" t="s">
        <v>45</v>
      </c>
      <c r="B880" s="17">
        <f t="shared" si="13"/>
        <v>41942</v>
      </c>
      <c r="C880" s="15">
        <v>2</v>
      </c>
      <c r="D880" s="15" t="s">
        <v>403</v>
      </c>
      <c r="E880" s="15">
        <v>3</v>
      </c>
    </row>
    <row r="881" spans="1:5" x14ac:dyDescent="0.25">
      <c r="A881" s="15" t="s">
        <v>45</v>
      </c>
      <c r="B881" s="17">
        <f t="shared" si="13"/>
        <v>41942</v>
      </c>
      <c r="C881" s="15">
        <v>1</v>
      </c>
      <c r="D881" s="15" t="s">
        <v>464</v>
      </c>
      <c r="E881" s="15">
        <v>1</v>
      </c>
    </row>
    <row r="882" spans="1:5" x14ac:dyDescent="0.25">
      <c r="A882" s="15" t="s">
        <v>45</v>
      </c>
      <c r="B882" s="17">
        <f t="shared" si="13"/>
        <v>41942</v>
      </c>
      <c r="C882" s="15">
        <v>1</v>
      </c>
      <c r="D882" s="15" t="s">
        <v>451</v>
      </c>
      <c r="E882" s="15">
        <v>2</v>
      </c>
    </row>
    <row r="883" spans="1:5" x14ac:dyDescent="0.25">
      <c r="A883" s="15" t="s">
        <v>45</v>
      </c>
      <c r="B883" s="17">
        <f t="shared" si="13"/>
        <v>41942</v>
      </c>
      <c r="C883" s="15">
        <v>1</v>
      </c>
      <c r="D883" s="15" t="s">
        <v>329</v>
      </c>
      <c r="E883" s="15">
        <v>1</v>
      </c>
    </row>
    <row r="884" spans="1:5" x14ac:dyDescent="0.25">
      <c r="A884" s="15" t="s">
        <v>45</v>
      </c>
      <c r="B884" s="17">
        <f t="shared" si="13"/>
        <v>41942</v>
      </c>
      <c r="C884" s="15">
        <v>1</v>
      </c>
      <c r="D884" s="15" t="s">
        <v>433</v>
      </c>
      <c r="E884" s="15">
        <v>1</v>
      </c>
    </row>
    <row r="885" spans="1:5" x14ac:dyDescent="0.25">
      <c r="A885" s="15" t="s">
        <v>45</v>
      </c>
      <c r="B885" s="17">
        <f t="shared" si="13"/>
        <v>41942</v>
      </c>
      <c r="C885" s="15">
        <v>2</v>
      </c>
      <c r="D885" s="15" t="s">
        <v>433</v>
      </c>
      <c r="E885" s="15">
        <v>2</v>
      </c>
    </row>
    <row r="886" spans="1:5" x14ac:dyDescent="0.25">
      <c r="A886" s="15" t="s">
        <v>45</v>
      </c>
      <c r="B886" s="17">
        <f t="shared" si="13"/>
        <v>41942</v>
      </c>
      <c r="C886" s="15">
        <v>1</v>
      </c>
      <c r="D886" s="15" t="s">
        <v>331</v>
      </c>
      <c r="E886" s="15">
        <v>2</v>
      </c>
    </row>
    <row r="887" spans="1:5" x14ac:dyDescent="0.25">
      <c r="A887" s="15" t="s">
        <v>45</v>
      </c>
      <c r="B887" s="17">
        <f t="shared" si="13"/>
        <v>41942</v>
      </c>
      <c r="C887" s="15">
        <v>1</v>
      </c>
      <c r="D887" s="15" t="s">
        <v>444</v>
      </c>
      <c r="E887" s="15">
        <v>1</v>
      </c>
    </row>
    <row r="888" spans="1:5" x14ac:dyDescent="0.25">
      <c r="A888" s="15" t="s">
        <v>45</v>
      </c>
      <c r="B888" s="17">
        <f t="shared" si="13"/>
        <v>41942</v>
      </c>
      <c r="C888" s="15">
        <v>2</v>
      </c>
      <c r="D888" s="15" t="s">
        <v>465</v>
      </c>
      <c r="E888" s="15">
        <v>1</v>
      </c>
    </row>
    <row r="889" spans="1:5" x14ac:dyDescent="0.25">
      <c r="A889" s="15" t="s">
        <v>45</v>
      </c>
      <c r="B889" s="17">
        <f t="shared" si="13"/>
        <v>41942</v>
      </c>
      <c r="C889" s="15">
        <v>1</v>
      </c>
      <c r="D889" s="15" t="s">
        <v>333</v>
      </c>
      <c r="E889" s="15">
        <v>60</v>
      </c>
    </row>
    <row r="890" spans="1:5" x14ac:dyDescent="0.25">
      <c r="A890" s="15" t="s">
        <v>45</v>
      </c>
      <c r="B890" s="17">
        <f t="shared" si="13"/>
        <v>41942</v>
      </c>
      <c r="C890" s="15">
        <v>2</v>
      </c>
      <c r="D890" s="15" t="s">
        <v>333</v>
      </c>
      <c r="E890" s="15">
        <v>59</v>
      </c>
    </row>
    <row r="891" spans="1:5" x14ac:dyDescent="0.25">
      <c r="A891" s="15" t="s">
        <v>45</v>
      </c>
      <c r="B891" s="17">
        <f t="shared" si="13"/>
        <v>41942</v>
      </c>
      <c r="C891" s="15">
        <v>1</v>
      </c>
      <c r="D891" s="15" t="s">
        <v>354</v>
      </c>
      <c r="E891" s="15">
        <v>1</v>
      </c>
    </row>
    <row r="892" spans="1:5" x14ac:dyDescent="0.25">
      <c r="A892" s="15" t="s">
        <v>45</v>
      </c>
      <c r="B892" s="17">
        <f t="shared" si="13"/>
        <v>41942</v>
      </c>
      <c r="C892" s="15">
        <v>1</v>
      </c>
      <c r="D892" s="15" t="s">
        <v>122</v>
      </c>
      <c r="E892" s="15">
        <v>1</v>
      </c>
    </row>
    <row r="893" spans="1:5" x14ac:dyDescent="0.25">
      <c r="A893" s="15" t="s">
        <v>45</v>
      </c>
      <c r="B893" s="17">
        <f t="shared" si="13"/>
        <v>41942</v>
      </c>
      <c r="C893" s="15">
        <v>2</v>
      </c>
      <c r="D893" s="15" t="s">
        <v>122</v>
      </c>
      <c r="E893" s="15">
        <v>1</v>
      </c>
    </row>
    <row r="894" spans="1:5" x14ac:dyDescent="0.25">
      <c r="A894" s="15" t="s">
        <v>45</v>
      </c>
      <c r="B894" s="17">
        <f t="shared" si="13"/>
        <v>41942</v>
      </c>
      <c r="C894" s="15">
        <v>1</v>
      </c>
      <c r="D894" s="15" t="s">
        <v>357</v>
      </c>
      <c r="E894" s="15">
        <v>4</v>
      </c>
    </row>
    <row r="895" spans="1:5" x14ac:dyDescent="0.25">
      <c r="A895" s="15" t="s">
        <v>45</v>
      </c>
      <c r="B895" s="17">
        <f t="shared" si="13"/>
        <v>41942</v>
      </c>
      <c r="C895" s="15">
        <v>2</v>
      </c>
      <c r="D895" s="15" t="s">
        <v>357</v>
      </c>
      <c r="E895" s="15">
        <v>2</v>
      </c>
    </row>
    <row r="896" spans="1:5" x14ac:dyDescent="0.25">
      <c r="A896" s="15" t="s">
        <v>45</v>
      </c>
      <c r="B896" s="17">
        <f t="shared" si="13"/>
        <v>41942</v>
      </c>
      <c r="C896" s="15">
        <v>1</v>
      </c>
      <c r="D896" s="15" t="s">
        <v>361</v>
      </c>
      <c r="E896" s="15">
        <v>2</v>
      </c>
    </row>
    <row r="897" spans="1:5" x14ac:dyDescent="0.25">
      <c r="A897" s="15" t="s">
        <v>45</v>
      </c>
      <c r="B897" s="17">
        <f t="shared" si="13"/>
        <v>41942</v>
      </c>
      <c r="C897" s="15">
        <v>2</v>
      </c>
      <c r="D897" s="15" t="s">
        <v>361</v>
      </c>
      <c r="E897" s="15">
        <v>2</v>
      </c>
    </row>
    <row r="898" spans="1:5" x14ac:dyDescent="0.25">
      <c r="A898" s="15" t="s">
        <v>45</v>
      </c>
      <c r="B898" s="17">
        <f t="shared" si="13"/>
        <v>41942</v>
      </c>
      <c r="C898" s="15">
        <v>2</v>
      </c>
      <c r="D898" s="15" t="s">
        <v>466</v>
      </c>
      <c r="E898" s="15">
        <v>1</v>
      </c>
    </row>
    <row r="899" spans="1:5" x14ac:dyDescent="0.25">
      <c r="A899" s="15" t="s">
        <v>45</v>
      </c>
      <c r="B899" s="17">
        <f t="shared" si="13"/>
        <v>41942</v>
      </c>
      <c r="C899" s="15">
        <v>1</v>
      </c>
      <c r="D899" s="15" t="s">
        <v>447</v>
      </c>
      <c r="E899" s="15">
        <v>1</v>
      </c>
    </row>
    <row r="900" spans="1:5" x14ac:dyDescent="0.25">
      <c r="A900" s="15" t="s">
        <v>45</v>
      </c>
      <c r="B900" s="17">
        <f t="shared" si="13"/>
        <v>41942</v>
      </c>
      <c r="C900" s="15">
        <v>2</v>
      </c>
      <c r="D900" s="15" t="s">
        <v>447</v>
      </c>
      <c r="E900" s="15">
        <v>2</v>
      </c>
    </row>
    <row r="901" spans="1:5" x14ac:dyDescent="0.25">
      <c r="A901" s="15" t="s">
        <v>48</v>
      </c>
      <c r="B901" s="17">
        <v>41752</v>
      </c>
      <c r="C901" s="15">
        <v>2</v>
      </c>
      <c r="D901" s="15" t="s">
        <v>324</v>
      </c>
      <c r="E901" s="15">
        <v>2</v>
      </c>
    </row>
    <row r="902" spans="1:5" x14ac:dyDescent="0.25">
      <c r="A902" s="15" t="s">
        <v>48</v>
      </c>
      <c r="B902" s="17">
        <f t="shared" ref="B902:B948" si="14">B901</f>
        <v>41752</v>
      </c>
      <c r="C902" s="15">
        <v>1</v>
      </c>
      <c r="D902" s="15" t="s">
        <v>74</v>
      </c>
      <c r="E902" s="15">
        <v>6</v>
      </c>
    </row>
    <row r="903" spans="1:5" x14ac:dyDescent="0.25">
      <c r="A903" s="15" t="s">
        <v>48</v>
      </c>
      <c r="B903" s="17">
        <f t="shared" si="14"/>
        <v>41752</v>
      </c>
      <c r="C903" s="15">
        <v>2</v>
      </c>
      <c r="D903" s="15" t="s">
        <v>74</v>
      </c>
      <c r="E903" s="15">
        <v>8</v>
      </c>
    </row>
    <row r="904" spans="1:5" x14ac:dyDescent="0.25">
      <c r="A904" s="15" t="s">
        <v>48</v>
      </c>
      <c r="B904" s="17">
        <f t="shared" si="14"/>
        <v>41752</v>
      </c>
      <c r="C904" s="15">
        <v>1</v>
      </c>
      <c r="D904" s="15" t="s">
        <v>76</v>
      </c>
      <c r="E904" s="15">
        <v>1</v>
      </c>
    </row>
    <row r="905" spans="1:5" x14ac:dyDescent="0.25">
      <c r="A905" s="15" t="s">
        <v>48</v>
      </c>
      <c r="B905" s="17">
        <f t="shared" si="14"/>
        <v>41752</v>
      </c>
      <c r="C905" s="15">
        <v>1</v>
      </c>
      <c r="D905" s="15" t="s">
        <v>336</v>
      </c>
      <c r="E905" s="15">
        <v>1</v>
      </c>
    </row>
    <row r="906" spans="1:5" x14ac:dyDescent="0.25">
      <c r="A906" s="15" t="s">
        <v>48</v>
      </c>
      <c r="B906" s="17">
        <f t="shared" si="14"/>
        <v>41752</v>
      </c>
      <c r="C906" s="15">
        <v>1</v>
      </c>
      <c r="D906" s="15" t="s">
        <v>337</v>
      </c>
      <c r="E906" s="15">
        <v>5</v>
      </c>
    </row>
    <row r="907" spans="1:5" x14ac:dyDescent="0.25">
      <c r="A907" s="15" t="s">
        <v>48</v>
      </c>
      <c r="B907" s="17">
        <f t="shared" si="14"/>
        <v>41752</v>
      </c>
      <c r="C907" s="15">
        <v>2</v>
      </c>
      <c r="D907" s="15" t="s">
        <v>337</v>
      </c>
      <c r="E907" s="15">
        <v>7</v>
      </c>
    </row>
    <row r="908" spans="1:5" x14ac:dyDescent="0.25">
      <c r="A908" s="15" t="s">
        <v>48</v>
      </c>
      <c r="B908" s="17">
        <f t="shared" si="14"/>
        <v>41752</v>
      </c>
      <c r="C908" s="15">
        <v>1</v>
      </c>
      <c r="D908" s="15" t="s">
        <v>325</v>
      </c>
      <c r="E908" s="15">
        <v>5</v>
      </c>
    </row>
    <row r="909" spans="1:5" x14ac:dyDescent="0.25">
      <c r="A909" s="15" t="s">
        <v>48</v>
      </c>
      <c r="B909" s="17">
        <f t="shared" si="14"/>
        <v>41752</v>
      </c>
      <c r="C909" s="15">
        <v>2</v>
      </c>
      <c r="D909" s="15" t="s">
        <v>325</v>
      </c>
      <c r="E909" s="15">
        <v>6</v>
      </c>
    </row>
    <row r="910" spans="1:5" x14ac:dyDescent="0.25">
      <c r="A910" s="15" t="s">
        <v>48</v>
      </c>
      <c r="B910" s="17">
        <f t="shared" si="14"/>
        <v>41752</v>
      </c>
      <c r="C910" s="15">
        <v>1</v>
      </c>
      <c r="D910" s="15" t="s">
        <v>460</v>
      </c>
      <c r="E910" s="15">
        <v>1</v>
      </c>
    </row>
    <row r="911" spans="1:5" x14ac:dyDescent="0.25">
      <c r="A911" s="15" t="s">
        <v>48</v>
      </c>
      <c r="B911" s="17">
        <f t="shared" si="14"/>
        <v>41752</v>
      </c>
      <c r="C911" s="15">
        <v>1</v>
      </c>
      <c r="D911" s="15" t="s">
        <v>414</v>
      </c>
      <c r="E911" s="15">
        <v>1</v>
      </c>
    </row>
    <row r="912" spans="1:5" x14ac:dyDescent="0.25">
      <c r="A912" s="15" t="s">
        <v>48</v>
      </c>
      <c r="B912" s="17">
        <f t="shared" si="14"/>
        <v>41752</v>
      </c>
      <c r="C912" s="15">
        <v>1</v>
      </c>
      <c r="D912" s="15" t="s">
        <v>382</v>
      </c>
      <c r="E912" s="15">
        <v>1</v>
      </c>
    </row>
    <row r="913" spans="1:5" x14ac:dyDescent="0.25">
      <c r="A913" s="15" t="s">
        <v>48</v>
      </c>
      <c r="B913" s="17">
        <f t="shared" si="14"/>
        <v>41752</v>
      </c>
      <c r="C913" s="15">
        <v>1</v>
      </c>
      <c r="D913" s="15" t="s">
        <v>82</v>
      </c>
      <c r="E913" s="15">
        <v>1</v>
      </c>
    </row>
    <row r="914" spans="1:5" x14ac:dyDescent="0.25">
      <c r="A914" s="15" t="s">
        <v>48</v>
      </c>
      <c r="B914" s="17">
        <f t="shared" si="14"/>
        <v>41752</v>
      </c>
      <c r="C914" s="15">
        <v>2</v>
      </c>
      <c r="D914" s="15" t="s">
        <v>82</v>
      </c>
      <c r="E914" s="15">
        <v>1</v>
      </c>
    </row>
    <row r="915" spans="1:5" x14ac:dyDescent="0.25">
      <c r="A915" s="15" t="s">
        <v>48</v>
      </c>
      <c r="B915" s="17">
        <f t="shared" si="14"/>
        <v>41752</v>
      </c>
      <c r="C915" s="15">
        <v>1</v>
      </c>
      <c r="D915" s="15" t="s">
        <v>83</v>
      </c>
      <c r="E915" s="15">
        <v>10</v>
      </c>
    </row>
    <row r="916" spans="1:5" x14ac:dyDescent="0.25">
      <c r="A916" s="15" t="s">
        <v>48</v>
      </c>
      <c r="B916" s="17">
        <f t="shared" si="14"/>
        <v>41752</v>
      </c>
      <c r="C916" s="15">
        <v>2</v>
      </c>
      <c r="D916" s="15" t="s">
        <v>83</v>
      </c>
      <c r="E916" s="15">
        <v>16</v>
      </c>
    </row>
    <row r="917" spans="1:5" x14ac:dyDescent="0.25">
      <c r="A917" s="15" t="s">
        <v>48</v>
      </c>
      <c r="B917" s="17">
        <f t="shared" si="14"/>
        <v>41752</v>
      </c>
      <c r="C917" s="15">
        <v>1</v>
      </c>
      <c r="D917" s="15" t="s">
        <v>430</v>
      </c>
      <c r="E917" s="15">
        <v>1</v>
      </c>
    </row>
    <row r="918" spans="1:5" x14ac:dyDescent="0.25">
      <c r="A918" s="15" t="s">
        <v>48</v>
      </c>
      <c r="B918" s="17">
        <f t="shared" si="14"/>
        <v>41752</v>
      </c>
      <c r="C918" s="15">
        <v>1</v>
      </c>
      <c r="D918" s="15" t="s">
        <v>431</v>
      </c>
      <c r="E918" s="15">
        <v>1</v>
      </c>
    </row>
    <row r="919" spans="1:5" x14ac:dyDescent="0.25">
      <c r="A919" s="15" t="s">
        <v>48</v>
      </c>
      <c r="B919" s="17">
        <f t="shared" si="14"/>
        <v>41752</v>
      </c>
      <c r="C919" s="15">
        <v>1</v>
      </c>
      <c r="D919" s="15" t="s">
        <v>390</v>
      </c>
      <c r="E919" s="15">
        <v>12</v>
      </c>
    </row>
    <row r="920" spans="1:5" x14ac:dyDescent="0.25">
      <c r="A920" s="15" t="s">
        <v>48</v>
      </c>
      <c r="B920" s="17">
        <f t="shared" si="14"/>
        <v>41752</v>
      </c>
      <c r="C920" s="15">
        <v>2</v>
      </c>
      <c r="D920" s="15" t="s">
        <v>390</v>
      </c>
      <c r="E920" s="15">
        <v>16</v>
      </c>
    </row>
    <row r="921" spans="1:5" x14ac:dyDescent="0.25">
      <c r="A921" s="15" t="s">
        <v>48</v>
      </c>
      <c r="B921" s="17">
        <f t="shared" si="14"/>
        <v>41752</v>
      </c>
      <c r="C921" s="15">
        <v>2</v>
      </c>
      <c r="D921" s="15" t="s">
        <v>438</v>
      </c>
      <c r="E921" s="15">
        <v>1</v>
      </c>
    </row>
    <row r="922" spans="1:5" x14ac:dyDescent="0.25">
      <c r="A922" s="15" t="s">
        <v>48</v>
      </c>
      <c r="B922" s="17">
        <f t="shared" si="14"/>
        <v>41752</v>
      </c>
      <c r="C922" s="15">
        <v>1</v>
      </c>
      <c r="D922" s="15" t="s">
        <v>377</v>
      </c>
      <c r="E922" s="15">
        <v>1</v>
      </c>
    </row>
    <row r="923" spans="1:5" x14ac:dyDescent="0.25">
      <c r="A923" s="15" t="s">
        <v>48</v>
      </c>
      <c r="B923" s="17">
        <f t="shared" si="14"/>
        <v>41752</v>
      </c>
      <c r="C923" s="15">
        <v>2</v>
      </c>
      <c r="D923" s="15" t="s">
        <v>92</v>
      </c>
      <c r="E923" s="15">
        <v>1</v>
      </c>
    </row>
    <row r="924" spans="1:5" x14ac:dyDescent="0.25">
      <c r="A924" s="15" t="s">
        <v>48</v>
      </c>
      <c r="B924" s="17">
        <f t="shared" si="14"/>
        <v>41752</v>
      </c>
      <c r="C924" s="15">
        <v>1</v>
      </c>
      <c r="D924" s="15" t="s">
        <v>384</v>
      </c>
      <c r="E924" s="15">
        <v>40</v>
      </c>
    </row>
    <row r="925" spans="1:5" x14ac:dyDescent="0.25">
      <c r="A925" s="15" t="s">
        <v>48</v>
      </c>
      <c r="B925" s="17">
        <f t="shared" si="14"/>
        <v>41752</v>
      </c>
      <c r="C925" s="15">
        <v>2</v>
      </c>
      <c r="D925" s="15" t="s">
        <v>384</v>
      </c>
      <c r="E925" s="15">
        <v>34</v>
      </c>
    </row>
    <row r="926" spans="1:5" x14ac:dyDescent="0.25">
      <c r="A926" s="15" t="s">
        <v>48</v>
      </c>
      <c r="B926" s="17">
        <f t="shared" si="14"/>
        <v>41752</v>
      </c>
      <c r="C926" s="15">
        <v>1</v>
      </c>
      <c r="D926" s="15" t="s">
        <v>403</v>
      </c>
      <c r="E926" s="15">
        <v>2</v>
      </c>
    </row>
    <row r="927" spans="1:5" x14ac:dyDescent="0.25">
      <c r="A927" s="15" t="s">
        <v>48</v>
      </c>
      <c r="B927" s="17">
        <f t="shared" si="14"/>
        <v>41752</v>
      </c>
      <c r="C927" s="15">
        <v>1</v>
      </c>
      <c r="D927" s="15" t="s">
        <v>372</v>
      </c>
      <c r="E927" s="15">
        <v>7</v>
      </c>
    </row>
    <row r="928" spans="1:5" x14ac:dyDescent="0.25">
      <c r="A928" s="15" t="s">
        <v>48</v>
      </c>
      <c r="B928" s="17">
        <f t="shared" si="14"/>
        <v>41752</v>
      </c>
      <c r="C928" s="15">
        <v>2</v>
      </c>
      <c r="D928" s="15" t="s">
        <v>372</v>
      </c>
      <c r="E928" s="15">
        <v>7</v>
      </c>
    </row>
    <row r="929" spans="1:5" x14ac:dyDescent="0.25">
      <c r="A929" s="15" t="s">
        <v>48</v>
      </c>
      <c r="B929" s="17">
        <f t="shared" si="14"/>
        <v>41752</v>
      </c>
      <c r="C929" s="15">
        <v>1</v>
      </c>
      <c r="D929" s="15" t="s">
        <v>351</v>
      </c>
      <c r="E929" s="15">
        <v>2</v>
      </c>
    </row>
    <row r="930" spans="1:5" x14ac:dyDescent="0.25">
      <c r="A930" s="15" t="s">
        <v>48</v>
      </c>
      <c r="B930" s="17">
        <f t="shared" si="14"/>
        <v>41752</v>
      </c>
      <c r="C930" s="15">
        <v>2</v>
      </c>
      <c r="D930" s="15" t="s">
        <v>351</v>
      </c>
      <c r="E930" s="15">
        <v>4</v>
      </c>
    </row>
    <row r="931" spans="1:5" x14ac:dyDescent="0.25">
      <c r="A931" s="15" t="s">
        <v>48</v>
      </c>
      <c r="B931" s="17">
        <f t="shared" si="14"/>
        <v>41752</v>
      </c>
      <c r="C931" s="15">
        <v>2</v>
      </c>
      <c r="D931" s="15" t="s">
        <v>405</v>
      </c>
      <c r="E931" s="15">
        <v>1</v>
      </c>
    </row>
    <row r="932" spans="1:5" x14ac:dyDescent="0.25">
      <c r="A932" s="15" t="s">
        <v>48</v>
      </c>
      <c r="B932" s="17">
        <f t="shared" si="14"/>
        <v>41752</v>
      </c>
      <c r="C932" s="15">
        <v>2</v>
      </c>
      <c r="D932" s="15" t="s">
        <v>467</v>
      </c>
      <c r="E932" s="15">
        <v>1</v>
      </c>
    </row>
    <row r="933" spans="1:5" x14ac:dyDescent="0.25">
      <c r="A933" s="15" t="s">
        <v>48</v>
      </c>
      <c r="B933" s="17">
        <f t="shared" si="14"/>
        <v>41752</v>
      </c>
      <c r="C933" s="15">
        <v>1</v>
      </c>
      <c r="D933" s="15" t="s">
        <v>352</v>
      </c>
      <c r="E933" s="15">
        <v>2</v>
      </c>
    </row>
    <row r="934" spans="1:5" x14ac:dyDescent="0.25">
      <c r="A934" s="15" t="s">
        <v>48</v>
      </c>
      <c r="B934" s="17">
        <f t="shared" si="14"/>
        <v>41752</v>
      </c>
      <c r="C934" s="15">
        <v>1</v>
      </c>
      <c r="D934" s="15" t="s">
        <v>331</v>
      </c>
      <c r="E934" s="15">
        <v>1</v>
      </c>
    </row>
    <row r="935" spans="1:5" x14ac:dyDescent="0.25">
      <c r="A935" s="15" t="s">
        <v>48</v>
      </c>
      <c r="B935" s="17">
        <f t="shared" si="14"/>
        <v>41752</v>
      </c>
      <c r="C935" s="15">
        <v>1</v>
      </c>
      <c r="D935" s="15" t="s">
        <v>332</v>
      </c>
      <c r="E935" s="15">
        <v>4</v>
      </c>
    </row>
    <row r="936" spans="1:5" x14ac:dyDescent="0.25">
      <c r="A936" s="15" t="s">
        <v>48</v>
      </c>
      <c r="B936" s="17">
        <f t="shared" si="14"/>
        <v>41752</v>
      </c>
      <c r="C936" s="15">
        <v>2</v>
      </c>
      <c r="D936" s="15" t="s">
        <v>332</v>
      </c>
      <c r="E936" s="15">
        <v>3</v>
      </c>
    </row>
    <row r="937" spans="1:5" x14ac:dyDescent="0.25">
      <c r="A937" s="15" t="s">
        <v>48</v>
      </c>
      <c r="B937" s="17">
        <f t="shared" si="14"/>
        <v>41752</v>
      </c>
      <c r="C937" s="15">
        <v>2</v>
      </c>
      <c r="D937" s="15" t="s">
        <v>452</v>
      </c>
      <c r="E937" s="15">
        <v>1</v>
      </c>
    </row>
    <row r="938" spans="1:5" x14ac:dyDescent="0.25">
      <c r="A938" s="15" t="s">
        <v>48</v>
      </c>
      <c r="B938" s="17">
        <f t="shared" si="14"/>
        <v>41752</v>
      </c>
      <c r="C938" s="15">
        <v>1</v>
      </c>
      <c r="D938" s="15" t="s">
        <v>66</v>
      </c>
      <c r="E938" s="15">
        <v>2</v>
      </c>
    </row>
    <row r="939" spans="1:5" x14ac:dyDescent="0.25">
      <c r="A939" s="15" t="s">
        <v>48</v>
      </c>
      <c r="B939" s="17">
        <f t="shared" si="14"/>
        <v>41752</v>
      </c>
      <c r="C939" s="15">
        <v>2</v>
      </c>
      <c r="D939" s="15" t="s">
        <v>66</v>
      </c>
      <c r="E939" s="15">
        <v>2</v>
      </c>
    </row>
    <row r="940" spans="1:5" x14ac:dyDescent="0.25">
      <c r="A940" s="15" t="s">
        <v>48</v>
      </c>
      <c r="B940" s="17">
        <f t="shared" si="14"/>
        <v>41752</v>
      </c>
      <c r="C940" s="15">
        <v>1</v>
      </c>
      <c r="D940" s="15" t="s">
        <v>69</v>
      </c>
      <c r="E940" s="15">
        <v>11</v>
      </c>
    </row>
    <row r="941" spans="1:5" x14ac:dyDescent="0.25">
      <c r="A941" s="15" t="s">
        <v>48</v>
      </c>
      <c r="B941" s="17">
        <f t="shared" si="14"/>
        <v>41752</v>
      </c>
      <c r="C941" s="15">
        <v>2</v>
      </c>
      <c r="D941" s="15" t="s">
        <v>69</v>
      </c>
      <c r="E941" s="15">
        <v>12</v>
      </c>
    </row>
    <row r="942" spans="1:5" x14ac:dyDescent="0.25">
      <c r="A942" s="15" t="s">
        <v>48</v>
      </c>
      <c r="B942" s="17">
        <f t="shared" si="14"/>
        <v>41752</v>
      </c>
      <c r="C942" s="15">
        <v>1</v>
      </c>
      <c r="D942" s="15" t="s">
        <v>468</v>
      </c>
      <c r="E942" s="15">
        <v>1</v>
      </c>
    </row>
    <row r="943" spans="1:5" x14ac:dyDescent="0.25">
      <c r="A943" s="15" t="s">
        <v>48</v>
      </c>
      <c r="B943" s="17">
        <f t="shared" si="14"/>
        <v>41752</v>
      </c>
      <c r="C943" s="15">
        <v>1</v>
      </c>
      <c r="D943" s="15" t="s">
        <v>333</v>
      </c>
      <c r="E943" s="15">
        <v>28</v>
      </c>
    </row>
    <row r="944" spans="1:5" x14ac:dyDescent="0.25">
      <c r="A944" s="15" t="s">
        <v>48</v>
      </c>
      <c r="B944" s="17">
        <f t="shared" si="14"/>
        <v>41752</v>
      </c>
      <c r="C944" s="15">
        <v>2</v>
      </c>
      <c r="D944" s="15" t="s">
        <v>333</v>
      </c>
      <c r="E944" s="15">
        <v>22</v>
      </c>
    </row>
    <row r="945" spans="1:5" x14ac:dyDescent="0.25">
      <c r="A945" s="15" t="s">
        <v>48</v>
      </c>
      <c r="B945" s="17">
        <f t="shared" si="14"/>
        <v>41752</v>
      </c>
      <c r="C945" s="15">
        <v>1</v>
      </c>
      <c r="D945" s="15" t="s">
        <v>355</v>
      </c>
      <c r="E945" s="15">
        <v>2</v>
      </c>
    </row>
    <row r="946" spans="1:5" x14ac:dyDescent="0.25">
      <c r="A946" s="15" t="s">
        <v>48</v>
      </c>
      <c r="B946" s="17">
        <f t="shared" si="14"/>
        <v>41752</v>
      </c>
      <c r="C946" s="15">
        <v>2</v>
      </c>
      <c r="D946" s="15" t="s">
        <v>469</v>
      </c>
      <c r="E946" s="15">
        <v>1</v>
      </c>
    </row>
    <row r="947" spans="1:5" x14ac:dyDescent="0.25">
      <c r="A947" s="15" t="s">
        <v>48</v>
      </c>
      <c r="B947" s="17">
        <f t="shared" si="14"/>
        <v>41752</v>
      </c>
      <c r="C947" s="15">
        <v>1</v>
      </c>
      <c r="D947" s="15" t="s">
        <v>363</v>
      </c>
      <c r="E947" s="15">
        <v>1</v>
      </c>
    </row>
    <row r="948" spans="1:5" x14ac:dyDescent="0.25">
      <c r="A948" s="15" t="s">
        <v>48</v>
      </c>
      <c r="B948" s="17">
        <f t="shared" si="14"/>
        <v>41752</v>
      </c>
      <c r="C948" s="15">
        <v>1</v>
      </c>
      <c r="D948" s="15" t="s">
        <v>470</v>
      </c>
      <c r="E948" s="15">
        <v>1</v>
      </c>
    </row>
    <row r="949" spans="1:5" x14ac:dyDescent="0.25">
      <c r="A949" s="15" t="s">
        <v>48</v>
      </c>
      <c r="B949" s="17">
        <v>42131</v>
      </c>
      <c r="C949" s="15">
        <v>1</v>
      </c>
      <c r="D949" s="15" t="s">
        <v>74</v>
      </c>
      <c r="E949" s="15">
        <v>3</v>
      </c>
    </row>
    <row r="950" spans="1:5" x14ac:dyDescent="0.25">
      <c r="A950" s="15" t="s">
        <v>48</v>
      </c>
      <c r="B950" s="17">
        <f t="shared" ref="B950:B981" si="15">B949</f>
        <v>42131</v>
      </c>
      <c r="C950" s="15">
        <v>2</v>
      </c>
      <c r="D950" s="15" t="s">
        <v>74</v>
      </c>
      <c r="E950" s="15">
        <v>4</v>
      </c>
    </row>
    <row r="951" spans="1:5" x14ac:dyDescent="0.25">
      <c r="A951" s="15" t="s">
        <v>48</v>
      </c>
      <c r="B951" s="17">
        <f t="shared" si="15"/>
        <v>42131</v>
      </c>
      <c r="C951" s="15">
        <v>1</v>
      </c>
      <c r="D951" s="15" t="s">
        <v>97</v>
      </c>
      <c r="E951" s="15">
        <v>1</v>
      </c>
    </row>
    <row r="952" spans="1:5" x14ac:dyDescent="0.25">
      <c r="A952" s="15" t="s">
        <v>48</v>
      </c>
      <c r="B952" s="17">
        <f t="shared" si="15"/>
        <v>42131</v>
      </c>
      <c r="C952" s="15">
        <v>2</v>
      </c>
      <c r="D952" s="15" t="s">
        <v>97</v>
      </c>
      <c r="E952" s="15">
        <v>1</v>
      </c>
    </row>
    <row r="953" spans="1:5" x14ac:dyDescent="0.25">
      <c r="A953" s="15" t="s">
        <v>48</v>
      </c>
      <c r="B953" s="17">
        <f t="shared" si="15"/>
        <v>42131</v>
      </c>
      <c r="C953" s="15">
        <v>1</v>
      </c>
      <c r="D953" s="15" t="s">
        <v>76</v>
      </c>
      <c r="E953" s="15">
        <v>6</v>
      </c>
    </row>
    <row r="954" spans="1:5" x14ac:dyDescent="0.25">
      <c r="A954" s="15" t="s">
        <v>48</v>
      </c>
      <c r="B954" s="17">
        <f t="shared" si="15"/>
        <v>42131</v>
      </c>
      <c r="C954" s="15">
        <v>2</v>
      </c>
      <c r="D954" s="15" t="s">
        <v>76</v>
      </c>
      <c r="E954" s="15">
        <v>7</v>
      </c>
    </row>
    <row r="955" spans="1:5" x14ac:dyDescent="0.25">
      <c r="A955" s="15" t="s">
        <v>48</v>
      </c>
      <c r="B955" s="17">
        <f t="shared" si="15"/>
        <v>42131</v>
      </c>
      <c r="C955" s="15">
        <v>1</v>
      </c>
      <c r="D955" s="15" t="s">
        <v>336</v>
      </c>
      <c r="E955" s="15">
        <v>3</v>
      </c>
    </row>
    <row r="956" spans="1:5" x14ac:dyDescent="0.25">
      <c r="A956" s="15" t="s">
        <v>48</v>
      </c>
      <c r="B956" s="17">
        <f t="shared" si="15"/>
        <v>42131</v>
      </c>
      <c r="C956" s="15">
        <v>2</v>
      </c>
      <c r="D956" s="15" t="s">
        <v>336</v>
      </c>
      <c r="E956" s="15">
        <v>4</v>
      </c>
    </row>
    <row r="957" spans="1:5" x14ac:dyDescent="0.25">
      <c r="A957" s="15" t="s">
        <v>48</v>
      </c>
      <c r="B957" s="17">
        <f t="shared" si="15"/>
        <v>42131</v>
      </c>
      <c r="C957" s="15">
        <v>1</v>
      </c>
      <c r="D957" s="15" t="s">
        <v>337</v>
      </c>
      <c r="E957" s="15">
        <v>1</v>
      </c>
    </row>
    <row r="958" spans="1:5" x14ac:dyDescent="0.25">
      <c r="A958" s="15" t="s">
        <v>48</v>
      </c>
      <c r="B958" s="17">
        <f t="shared" si="15"/>
        <v>42131</v>
      </c>
      <c r="C958" s="15">
        <v>2</v>
      </c>
      <c r="D958" s="15" t="s">
        <v>337</v>
      </c>
      <c r="E958" s="15">
        <v>1</v>
      </c>
    </row>
    <row r="959" spans="1:5" x14ac:dyDescent="0.25">
      <c r="A959" s="15" t="s">
        <v>48</v>
      </c>
      <c r="B959" s="17">
        <f t="shared" si="15"/>
        <v>42131</v>
      </c>
      <c r="C959" s="15">
        <v>1</v>
      </c>
      <c r="D959" s="15" t="s">
        <v>325</v>
      </c>
      <c r="E959" s="15">
        <v>4</v>
      </c>
    </row>
    <row r="960" spans="1:5" x14ac:dyDescent="0.25">
      <c r="A960" s="15" t="s">
        <v>48</v>
      </c>
      <c r="B960" s="17">
        <f t="shared" si="15"/>
        <v>42131</v>
      </c>
      <c r="C960" s="15">
        <v>2</v>
      </c>
      <c r="D960" s="15" t="s">
        <v>325</v>
      </c>
      <c r="E960" s="15">
        <v>3</v>
      </c>
    </row>
    <row r="961" spans="1:5" x14ac:dyDescent="0.25">
      <c r="A961" s="15" t="s">
        <v>48</v>
      </c>
      <c r="B961" s="17">
        <f t="shared" si="15"/>
        <v>42131</v>
      </c>
      <c r="C961" s="15">
        <v>1</v>
      </c>
      <c r="D961" s="15" t="s">
        <v>471</v>
      </c>
      <c r="E961" s="15">
        <v>1</v>
      </c>
    </row>
    <row r="962" spans="1:5" x14ac:dyDescent="0.25">
      <c r="A962" s="15" t="s">
        <v>48</v>
      </c>
      <c r="B962" s="17">
        <f t="shared" si="15"/>
        <v>42131</v>
      </c>
      <c r="C962" s="15">
        <v>2</v>
      </c>
      <c r="D962" s="15" t="s">
        <v>472</v>
      </c>
      <c r="E962" s="15">
        <v>1</v>
      </c>
    </row>
    <row r="963" spans="1:5" x14ac:dyDescent="0.25">
      <c r="A963" s="15" t="s">
        <v>48</v>
      </c>
      <c r="B963" s="17">
        <f t="shared" si="15"/>
        <v>42131</v>
      </c>
      <c r="C963" s="15">
        <v>2</v>
      </c>
      <c r="D963" s="15" t="s">
        <v>473</v>
      </c>
      <c r="E963" s="15">
        <v>2</v>
      </c>
    </row>
    <row r="964" spans="1:5" x14ac:dyDescent="0.25">
      <c r="A964" s="15" t="s">
        <v>48</v>
      </c>
      <c r="B964" s="17">
        <f t="shared" si="15"/>
        <v>42131</v>
      </c>
      <c r="C964" s="15">
        <v>2</v>
      </c>
      <c r="D964" s="15" t="s">
        <v>474</v>
      </c>
      <c r="E964" s="15">
        <v>1</v>
      </c>
    </row>
    <row r="965" spans="1:5" x14ac:dyDescent="0.25">
      <c r="A965" s="15" t="s">
        <v>48</v>
      </c>
      <c r="B965" s="17">
        <f t="shared" si="15"/>
        <v>42131</v>
      </c>
      <c r="C965" s="15">
        <v>1</v>
      </c>
      <c r="D965" s="15" t="s">
        <v>381</v>
      </c>
      <c r="E965" s="15">
        <v>1</v>
      </c>
    </row>
    <row r="966" spans="1:5" x14ac:dyDescent="0.25">
      <c r="A966" s="15" t="s">
        <v>48</v>
      </c>
      <c r="B966" s="17">
        <f t="shared" si="15"/>
        <v>42131</v>
      </c>
      <c r="C966" s="15">
        <v>2</v>
      </c>
      <c r="D966" s="15" t="s">
        <v>82</v>
      </c>
      <c r="E966" s="15">
        <v>1</v>
      </c>
    </row>
    <row r="967" spans="1:5" x14ac:dyDescent="0.25">
      <c r="A967" s="15" t="s">
        <v>48</v>
      </c>
      <c r="B967" s="17">
        <f t="shared" si="15"/>
        <v>42131</v>
      </c>
      <c r="C967" s="15">
        <v>2</v>
      </c>
      <c r="D967" s="15" t="s">
        <v>368</v>
      </c>
      <c r="E967" s="15">
        <v>1</v>
      </c>
    </row>
    <row r="968" spans="1:5" x14ac:dyDescent="0.25">
      <c r="A968" s="15" t="s">
        <v>48</v>
      </c>
      <c r="B968" s="17">
        <f t="shared" si="15"/>
        <v>42131</v>
      </c>
      <c r="C968" s="15">
        <v>1</v>
      </c>
      <c r="D968" s="15" t="s">
        <v>83</v>
      </c>
      <c r="E968" s="15">
        <v>8</v>
      </c>
    </row>
    <row r="969" spans="1:5" x14ac:dyDescent="0.25">
      <c r="A969" s="15" t="s">
        <v>48</v>
      </c>
      <c r="B969" s="17">
        <f t="shared" si="15"/>
        <v>42131</v>
      </c>
      <c r="C969" s="15">
        <v>2</v>
      </c>
      <c r="D969" s="15" t="s">
        <v>83</v>
      </c>
      <c r="E969" s="15">
        <v>11</v>
      </c>
    </row>
    <row r="970" spans="1:5" x14ac:dyDescent="0.25">
      <c r="A970" s="15" t="s">
        <v>48</v>
      </c>
      <c r="B970" s="17">
        <f t="shared" si="15"/>
        <v>42131</v>
      </c>
      <c r="C970" s="15">
        <v>1</v>
      </c>
      <c r="D970" s="15" t="s">
        <v>430</v>
      </c>
      <c r="E970" s="15">
        <v>1</v>
      </c>
    </row>
    <row r="971" spans="1:5" x14ac:dyDescent="0.25">
      <c r="A971" s="15" t="s">
        <v>48</v>
      </c>
      <c r="B971" s="17">
        <f t="shared" si="15"/>
        <v>42131</v>
      </c>
      <c r="C971" s="15">
        <v>2</v>
      </c>
      <c r="D971" s="15" t="s">
        <v>430</v>
      </c>
      <c r="E971" s="15">
        <v>3</v>
      </c>
    </row>
    <row r="972" spans="1:5" x14ac:dyDescent="0.25">
      <c r="A972" s="15" t="s">
        <v>48</v>
      </c>
      <c r="B972" s="17">
        <f t="shared" si="15"/>
        <v>42131</v>
      </c>
      <c r="C972" s="15">
        <v>1</v>
      </c>
      <c r="D972" s="15" t="s">
        <v>383</v>
      </c>
      <c r="E972" s="15">
        <v>1</v>
      </c>
    </row>
    <row r="973" spans="1:5" x14ac:dyDescent="0.25">
      <c r="A973" s="15" t="s">
        <v>48</v>
      </c>
      <c r="B973" s="17">
        <f t="shared" si="15"/>
        <v>42131</v>
      </c>
      <c r="C973" s="15">
        <v>1</v>
      </c>
      <c r="D973" s="15" t="s">
        <v>377</v>
      </c>
      <c r="E973" s="15">
        <v>1</v>
      </c>
    </row>
    <row r="974" spans="1:5" x14ac:dyDescent="0.25">
      <c r="A974" s="15" t="s">
        <v>48</v>
      </c>
      <c r="B974" s="17">
        <f t="shared" si="15"/>
        <v>42131</v>
      </c>
      <c r="C974" s="15">
        <v>1</v>
      </c>
      <c r="D974" s="15" t="s">
        <v>384</v>
      </c>
      <c r="E974" s="15">
        <v>12</v>
      </c>
    </row>
    <row r="975" spans="1:5" x14ac:dyDescent="0.25">
      <c r="A975" s="15" t="s">
        <v>48</v>
      </c>
      <c r="B975" s="17">
        <f t="shared" si="15"/>
        <v>42131</v>
      </c>
      <c r="C975" s="15">
        <v>2</v>
      </c>
      <c r="D975" s="15" t="s">
        <v>384</v>
      </c>
      <c r="E975" s="15">
        <v>19</v>
      </c>
    </row>
    <row r="976" spans="1:5" x14ac:dyDescent="0.25">
      <c r="A976" s="15" t="s">
        <v>48</v>
      </c>
      <c r="B976" s="17">
        <f t="shared" si="15"/>
        <v>42131</v>
      </c>
      <c r="C976" s="15">
        <v>1</v>
      </c>
      <c r="D976" s="15" t="s">
        <v>403</v>
      </c>
      <c r="E976" s="15">
        <v>8</v>
      </c>
    </row>
    <row r="977" spans="1:5" x14ac:dyDescent="0.25">
      <c r="A977" s="15" t="s">
        <v>48</v>
      </c>
      <c r="B977" s="17">
        <f t="shared" si="15"/>
        <v>42131</v>
      </c>
      <c r="C977" s="15">
        <v>2</v>
      </c>
      <c r="D977" s="15" t="s">
        <v>403</v>
      </c>
      <c r="E977" s="15">
        <v>4</v>
      </c>
    </row>
    <row r="978" spans="1:5" x14ac:dyDescent="0.25">
      <c r="A978" s="15" t="s">
        <v>48</v>
      </c>
      <c r="B978" s="17">
        <f t="shared" si="15"/>
        <v>42131</v>
      </c>
      <c r="C978" s="15">
        <v>1</v>
      </c>
      <c r="D978" s="15" t="s">
        <v>385</v>
      </c>
      <c r="E978" s="15">
        <v>1</v>
      </c>
    </row>
    <row r="979" spans="1:5" x14ac:dyDescent="0.25">
      <c r="A979" s="15" t="s">
        <v>48</v>
      </c>
      <c r="B979" s="17">
        <f t="shared" si="15"/>
        <v>42131</v>
      </c>
      <c r="C979" s="15">
        <v>1</v>
      </c>
      <c r="D979" s="15" t="s">
        <v>475</v>
      </c>
      <c r="E979" s="15">
        <v>2</v>
      </c>
    </row>
    <row r="980" spans="1:5" x14ac:dyDescent="0.25">
      <c r="A980" s="15" t="s">
        <v>48</v>
      </c>
      <c r="B980" s="17">
        <f t="shared" si="15"/>
        <v>42131</v>
      </c>
      <c r="C980" s="15">
        <v>2</v>
      </c>
      <c r="D980" s="15" t="s">
        <v>476</v>
      </c>
      <c r="E980" s="15">
        <v>1</v>
      </c>
    </row>
    <row r="981" spans="1:5" x14ac:dyDescent="0.25">
      <c r="A981" s="15" t="s">
        <v>48</v>
      </c>
      <c r="B981" s="17">
        <f t="shared" si="15"/>
        <v>42131</v>
      </c>
      <c r="C981" s="15">
        <v>1</v>
      </c>
      <c r="D981" s="15" t="s">
        <v>372</v>
      </c>
      <c r="E981" s="15">
        <v>5</v>
      </c>
    </row>
    <row r="982" spans="1:5" x14ac:dyDescent="0.25">
      <c r="A982" s="15" t="s">
        <v>48</v>
      </c>
      <c r="B982" s="17">
        <f t="shared" ref="B982:B1005" si="16">B981</f>
        <v>42131</v>
      </c>
      <c r="C982" s="15">
        <v>2</v>
      </c>
      <c r="D982" s="15" t="s">
        <v>372</v>
      </c>
      <c r="E982" s="15">
        <v>8</v>
      </c>
    </row>
    <row r="983" spans="1:5" x14ac:dyDescent="0.25">
      <c r="A983" s="15" t="s">
        <v>48</v>
      </c>
      <c r="B983" s="17">
        <f t="shared" si="16"/>
        <v>42131</v>
      </c>
      <c r="C983" s="15">
        <v>1</v>
      </c>
      <c r="D983" s="15" t="s">
        <v>477</v>
      </c>
      <c r="E983" s="15">
        <v>1</v>
      </c>
    </row>
    <row r="984" spans="1:5" x14ac:dyDescent="0.25">
      <c r="A984" s="15" t="s">
        <v>48</v>
      </c>
      <c r="B984" s="17">
        <f t="shared" si="16"/>
        <v>42131</v>
      </c>
      <c r="C984" s="15">
        <v>1</v>
      </c>
      <c r="D984" s="15" t="s">
        <v>351</v>
      </c>
      <c r="E984" s="15">
        <v>1</v>
      </c>
    </row>
    <row r="985" spans="1:5" x14ac:dyDescent="0.25">
      <c r="A985" s="15" t="s">
        <v>48</v>
      </c>
      <c r="B985" s="17">
        <f t="shared" si="16"/>
        <v>42131</v>
      </c>
      <c r="C985" s="15">
        <v>2</v>
      </c>
      <c r="D985" s="15" t="s">
        <v>351</v>
      </c>
      <c r="E985" s="15">
        <v>1</v>
      </c>
    </row>
    <row r="986" spans="1:5" x14ac:dyDescent="0.25">
      <c r="A986" s="15" t="s">
        <v>48</v>
      </c>
      <c r="B986" s="17">
        <f t="shared" si="16"/>
        <v>42131</v>
      </c>
      <c r="C986" s="15">
        <v>1</v>
      </c>
      <c r="D986" s="15" t="s">
        <v>405</v>
      </c>
      <c r="E986" s="15">
        <v>1</v>
      </c>
    </row>
    <row r="987" spans="1:5" x14ac:dyDescent="0.25">
      <c r="A987" s="15" t="s">
        <v>48</v>
      </c>
      <c r="B987" s="17">
        <f t="shared" si="16"/>
        <v>42131</v>
      </c>
      <c r="C987" s="15">
        <v>1</v>
      </c>
      <c r="D987" s="15" t="s">
        <v>352</v>
      </c>
      <c r="E987" s="15">
        <v>1</v>
      </c>
    </row>
    <row r="988" spans="1:5" x14ac:dyDescent="0.25">
      <c r="A988" s="15" t="s">
        <v>48</v>
      </c>
      <c r="B988" s="17">
        <f t="shared" si="16"/>
        <v>42131</v>
      </c>
      <c r="C988" s="15">
        <v>1</v>
      </c>
      <c r="D988" s="15" t="s">
        <v>331</v>
      </c>
      <c r="E988" s="15">
        <v>6</v>
      </c>
    </row>
    <row r="989" spans="1:5" x14ac:dyDescent="0.25">
      <c r="A989" s="15" t="s">
        <v>48</v>
      </c>
      <c r="B989" s="17">
        <f t="shared" si="16"/>
        <v>42131</v>
      </c>
      <c r="C989" s="15">
        <v>1</v>
      </c>
      <c r="D989" s="15" t="s">
        <v>66</v>
      </c>
      <c r="E989" s="15">
        <v>1</v>
      </c>
    </row>
    <row r="990" spans="1:5" x14ac:dyDescent="0.25">
      <c r="A990" s="15" t="s">
        <v>48</v>
      </c>
      <c r="B990" s="17">
        <f t="shared" si="16"/>
        <v>42131</v>
      </c>
      <c r="C990" s="15">
        <v>1</v>
      </c>
      <c r="D990" s="15" t="s">
        <v>69</v>
      </c>
      <c r="E990" s="15">
        <v>27</v>
      </c>
    </row>
    <row r="991" spans="1:5" x14ac:dyDescent="0.25">
      <c r="A991" s="15" t="s">
        <v>48</v>
      </c>
      <c r="B991" s="17">
        <f t="shared" si="16"/>
        <v>42131</v>
      </c>
      <c r="C991" s="15">
        <v>2</v>
      </c>
      <c r="D991" s="15" t="s">
        <v>69</v>
      </c>
      <c r="E991" s="15">
        <v>7</v>
      </c>
    </row>
    <row r="992" spans="1:5" x14ac:dyDescent="0.25">
      <c r="A992" s="15" t="s">
        <v>48</v>
      </c>
      <c r="B992" s="17">
        <f t="shared" si="16"/>
        <v>42131</v>
      </c>
      <c r="C992" s="15">
        <v>1</v>
      </c>
      <c r="D992" s="15" t="s">
        <v>478</v>
      </c>
      <c r="E992" s="15">
        <v>1</v>
      </c>
    </row>
    <row r="993" spans="1:5" x14ac:dyDescent="0.25">
      <c r="A993" s="15" t="s">
        <v>48</v>
      </c>
      <c r="B993" s="17">
        <f t="shared" si="16"/>
        <v>42131</v>
      </c>
      <c r="C993" s="15">
        <v>1</v>
      </c>
      <c r="D993" s="15" t="s">
        <v>333</v>
      </c>
      <c r="E993" s="15">
        <v>39</v>
      </c>
    </row>
    <row r="994" spans="1:5" x14ac:dyDescent="0.25">
      <c r="A994" s="15" t="s">
        <v>48</v>
      </c>
      <c r="B994" s="17">
        <f t="shared" si="16"/>
        <v>42131</v>
      </c>
      <c r="C994" s="15">
        <v>2</v>
      </c>
      <c r="D994" s="15" t="s">
        <v>333</v>
      </c>
      <c r="E994" s="15">
        <v>55</v>
      </c>
    </row>
    <row r="995" spans="1:5" x14ac:dyDescent="0.25">
      <c r="A995" s="15" t="s">
        <v>48</v>
      </c>
      <c r="B995" s="17">
        <f t="shared" si="16"/>
        <v>42131</v>
      </c>
      <c r="C995" s="15">
        <v>1</v>
      </c>
      <c r="D995" s="15" t="s">
        <v>479</v>
      </c>
      <c r="E995" s="15">
        <v>2</v>
      </c>
    </row>
    <row r="996" spans="1:5" x14ac:dyDescent="0.25">
      <c r="A996" s="15" t="s">
        <v>48</v>
      </c>
      <c r="B996" s="17">
        <f t="shared" si="16"/>
        <v>42131</v>
      </c>
      <c r="C996" s="15">
        <v>2</v>
      </c>
      <c r="D996" s="15" t="s">
        <v>479</v>
      </c>
      <c r="E996" s="15">
        <v>1</v>
      </c>
    </row>
    <row r="997" spans="1:5" x14ac:dyDescent="0.25">
      <c r="A997" s="15" t="s">
        <v>48</v>
      </c>
      <c r="B997" s="17">
        <f t="shared" si="16"/>
        <v>42131</v>
      </c>
      <c r="C997" s="15">
        <v>1</v>
      </c>
      <c r="D997" s="15" t="s">
        <v>354</v>
      </c>
      <c r="E997" s="15">
        <v>1</v>
      </c>
    </row>
    <row r="998" spans="1:5" x14ac:dyDescent="0.25">
      <c r="A998" s="15" t="s">
        <v>48</v>
      </c>
      <c r="B998" s="17">
        <f t="shared" si="16"/>
        <v>42131</v>
      </c>
      <c r="C998" s="15">
        <v>1</v>
      </c>
      <c r="D998" s="15" t="s">
        <v>355</v>
      </c>
      <c r="E998" s="15">
        <v>1</v>
      </c>
    </row>
    <row r="999" spans="1:5" x14ac:dyDescent="0.25">
      <c r="A999" s="15" t="s">
        <v>48</v>
      </c>
      <c r="B999" s="17">
        <f t="shared" si="16"/>
        <v>42131</v>
      </c>
      <c r="C999" s="15">
        <v>2</v>
      </c>
      <c r="D999" s="15" t="s">
        <v>355</v>
      </c>
      <c r="E999" s="15">
        <v>1</v>
      </c>
    </row>
    <row r="1000" spans="1:5" x14ac:dyDescent="0.25">
      <c r="A1000" s="15" t="s">
        <v>48</v>
      </c>
      <c r="B1000" s="17">
        <f t="shared" si="16"/>
        <v>42131</v>
      </c>
      <c r="C1000" s="15">
        <v>1</v>
      </c>
      <c r="D1000" s="15" t="s">
        <v>361</v>
      </c>
      <c r="E1000" s="15">
        <v>5</v>
      </c>
    </row>
    <row r="1001" spans="1:5" x14ac:dyDescent="0.25">
      <c r="A1001" s="15" t="s">
        <v>48</v>
      </c>
      <c r="B1001" s="17">
        <f t="shared" si="16"/>
        <v>42131</v>
      </c>
      <c r="C1001" s="15">
        <v>2</v>
      </c>
      <c r="D1001" s="15" t="s">
        <v>361</v>
      </c>
      <c r="E1001" s="15">
        <v>1</v>
      </c>
    </row>
    <row r="1002" spans="1:5" x14ac:dyDescent="0.25">
      <c r="A1002" s="15" t="s">
        <v>48</v>
      </c>
      <c r="B1002" s="17">
        <f t="shared" si="16"/>
        <v>42131</v>
      </c>
      <c r="C1002" s="15">
        <v>2</v>
      </c>
      <c r="D1002" s="15" t="s">
        <v>374</v>
      </c>
      <c r="E1002" s="15">
        <v>1</v>
      </c>
    </row>
    <row r="1003" spans="1:5" x14ac:dyDescent="0.25">
      <c r="A1003" s="15" t="s">
        <v>48</v>
      </c>
      <c r="B1003" s="17">
        <f t="shared" si="16"/>
        <v>42131</v>
      </c>
      <c r="C1003" s="15">
        <v>1</v>
      </c>
      <c r="D1003" s="15" t="s">
        <v>459</v>
      </c>
      <c r="E1003" s="15">
        <v>1</v>
      </c>
    </row>
    <row r="1004" spans="1:5" x14ac:dyDescent="0.25">
      <c r="A1004" s="15" t="s">
        <v>48</v>
      </c>
      <c r="B1004" s="17">
        <f t="shared" si="16"/>
        <v>42131</v>
      </c>
      <c r="C1004" s="15">
        <v>2</v>
      </c>
      <c r="D1004" s="15" t="s">
        <v>480</v>
      </c>
      <c r="E1004" s="15">
        <v>1</v>
      </c>
    </row>
    <row r="1005" spans="1:5" x14ac:dyDescent="0.25">
      <c r="A1005" s="15" t="s">
        <v>48</v>
      </c>
      <c r="B1005" s="17">
        <f t="shared" si="16"/>
        <v>42131</v>
      </c>
      <c r="C1005" s="15">
        <v>2</v>
      </c>
      <c r="D1005" s="15" t="s">
        <v>481</v>
      </c>
      <c r="E1005" s="15">
        <v>1</v>
      </c>
    </row>
    <row r="1006" spans="1:5" x14ac:dyDescent="0.25">
      <c r="A1006" s="15" t="s">
        <v>51</v>
      </c>
      <c r="B1006" s="17">
        <v>41753</v>
      </c>
      <c r="C1006" s="15">
        <v>1</v>
      </c>
      <c r="D1006" s="15" t="s">
        <v>76</v>
      </c>
      <c r="E1006" s="15">
        <v>1</v>
      </c>
    </row>
    <row r="1007" spans="1:5" x14ac:dyDescent="0.25">
      <c r="A1007" s="15" t="s">
        <v>51</v>
      </c>
      <c r="B1007" s="17">
        <f t="shared" ref="B1007:B1046" si="17">B1006</f>
        <v>41753</v>
      </c>
      <c r="C1007" s="15">
        <v>2</v>
      </c>
      <c r="D1007" s="15" t="s">
        <v>76</v>
      </c>
      <c r="E1007" s="15">
        <v>1</v>
      </c>
    </row>
    <row r="1008" spans="1:5" x14ac:dyDescent="0.25">
      <c r="A1008" s="15" t="s">
        <v>51</v>
      </c>
      <c r="B1008" s="17">
        <f t="shared" si="17"/>
        <v>41753</v>
      </c>
      <c r="C1008" s="15">
        <v>1</v>
      </c>
      <c r="D1008" s="15" t="s">
        <v>482</v>
      </c>
      <c r="E1008" s="15">
        <v>1</v>
      </c>
    </row>
    <row r="1009" spans="1:5" x14ac:dyDescent="0.25">
      <c r="A1009" s="15" t="s">
        <v>51</v>
      </c>
      <c r="B1009" s="17">
        <f t="shared" si="17"/>
        <v>41753</v>
      </c>
      <c r="C1009" s="15">
        <v>2</v>
      </c>
      <c r="D1009" s="15" t="s">
        <v>482</v>
      </c>
      <c r="E1009" s="15">
        <v>1</v>
      </c>
    </row>
    <row r="1010" spans="1:5" x14ac:dyDescent="0.25">
      <c r="A1010" s="15" t="s">
        <v>51</v>
      </c>
      <c r="B1010" s="17">
        <f t="shared" si="17"/>
        <v>41753</v>
      </c>
      <c r="C1010" s="15">
        <v>1</v>
      </c>
      <c r="D1010" s="15" t="s">
        <v>483</v>
      </c>
      <c r="E1010" s="15">
        <v>6</v>
      </c>
    </row>
    <row r="1011" spans="1:5" x14ac:dyDescent="0.25">
      <c r="A1011" s="15" t="s">
        <v>51</v>
      </c>
      <c r="B1011" s="17">
        <f t="shared" si="17"/>
        <v>41753</v>
      </c>
      <c r="C1011" s="15">
        <v>2</v>
      </c>
      <c r="D1011" s="15" t="s">
        <v>483</v>
      </c>
      <c r="E1011" s="15">
        <v>18</v>
      </c>
    </row>
    <row r="1012" spans="1:5" x14ac:dyDescent="0.25">
      <c r="A1012" s="15" t="s">
        <v>51</v>
      </c>
      <c r="B1012" s="17">
        <f t="shared" si="17"/>
        <v>41753</v>
      </c>
      <c r="C1012" s="15">
        <v>1</v>
      </c>
      <c r="D1012" s="15" t="s">
        <v>414</v>
      </c>
      <c r="E1012" s="15">
        <v>3</v>
      </c>
    </row>
    <row r="1013" spans="1:5" x14ac:dyDescent="0.25">
      <c r="A1013" s="15" t="s">
        <v>51</v>
      </c>
      <c r="B1013" s="17">
        <f t="shared" si="17"/>
        <v>41753</v>
      </c>
      <c r="C1013" s="15">
        <v>1</v>
      </c>
      <c r="D1013" s="15" t="s">
        <v>83</v>
      </c>
      <c r="E1013" s="15">
        <v>21</v>
      </c>
    </row>
    <row r="1014" spans="1:5" x14ac:dyDescent="0.25">
      <c r="A1014" s="15" t="s">
        <v>51</v>
      </c>
      <c r="B1014" s="17">
        <f t="shared" si="17"/>
        <v>41753</v>
      </c>
      <c r="C1014" s="15">
        <v>2</v>
      </c>
      <c r="D1014" s="15" t="s">
        <v>83</v>
      </c>
      <c r="E1014" s="15">
        <v>7</v>
      </c>
    </row>
    <row r="1015" spans="1:5" x14ac:dyDescent="0.25">
      <c r="A1015" s="15" t="s">
        <v>51</v>
      </c>
      <c r="B1015" s="17">
        <f t="shared" si="17"/>
        <v>41753</v>
      </c>
      <c r="C1015" s="15">
        <v>1</v>
      </c>
      <c r="D1015" s="15" t="s">
        <v>430</v>
      </c>
      <c r="E1015" s="15">
        <v>2</v>
      </c>
    </row>
    <row r="1016" spans="1:5" x14ac:dyDescent="0.25">
      <c r="A1016" s="15" t="s">
        <v>51</v>
      </c>
      <c r="B1016" s="17">
        <f t="shared" si="17"/>
        <v>41753</v>
      </c>
      <c r="C1016" s="15">
        <v>2</v>
      </c>
      <c r="D1016" s="15" t="s">
        <v>430</v>
      </c>
      <c r="E1016" s="15">
        <v>2</v>
      </c>
    </row>
    <row r="1017" spans="1:5" x14ac:dyDescent="0.25">
      <c r="A1017" s="15" t="s">
        <v>51</v>
      </c>
      <c r="B1017" s="17">
        <f t="shared" si="17"/>
        <v>41753</v>
      </c>
      <c r="C1017" s="15">
        <v>1</v>
      </c>
      <c r="D1017" s="15" t="s">
        <v>455</v>
      </c>
      <c r="E1017" s="15">
        <v>1</v>
      </c>
    </row>
    <row r="1018" spans="1:5" x14ac:dyDescent="0.25">
      <c r="A1018" s="15" t="s">
        <v>51</v>
      </c>
      <c r="B1018" s="17">
        <f t="shared" si="17"/>
        <v>41753</v>
      </c>
      <c r="C1018" s="15">
        <v>1</v>
      </c>
      <c r="D1018" s="15" t="s">
        <v>368</v>
      </c>
      <c r="E1018" s="15">
        <v>1</v>
      </c>
    </row>
    <row r="1019" spans="1:5" x14ac:dyDescent="0.25">
      <c r="A1019" s="15" t="s">
        <v>51</v>
      </c>
      <c r="B1019" s="17">
        <f t="shared" si="17"/>
        <v>41753</v>
      </c>
      <c r="C1019" s="15">
        <v>2</v>
      </c>
      <c r="D1019" s="15" t="s">
        <v>328</v>
      </c>
      <c r="E1019" s="15">
        <v>2</v>
      </c>
    </row>
    <row r="1020" spans="1:5" x14ac:dyDescent="0.25">
      <c r="A1020" s="15" t="s">
        <v>51</v>
      </c>
      <c r="B1020" s="17">
        <f t="shared" si="17"/>
        <v>41753</v>
      </c>
      <c r="C1020" s="15">
        <v>2</v>
      </c>
      <c r="D1020" s="15" t="s">
        <v>349</v>
      </c>
      <c r="E1020" s="15">
        <v>2</v>
      </c>
    </row>
    <row r="1021" spans="1:5" x14ac:dyDescent="0.25">
      <c r="A1021" s="15" t="s">
        <v>51</v>
      </c>
      <c r="B1021" s="17">
        <f t="shared" si="17"/>
        <v>41753</v>
      </c>
      <c r="C1021" s="15">
        <v>1</v>
      </c>
      <c r="D1021" s="15" t="s">
        <v>384</v>
      </c>
      <c r="E1021" s="15">
        <v>21</v>
      </c>
    </row>
    <row r="1022" spans="1:5" x14ac:dyDescent="0.25">
      <c r="A1022" s="15" t="s">
        <v>51</v>
      </c>
      <c r="B1022" s="17">
        <f t="shared" si="17"/>
        <v>41753</v>
      </c>
      <c r="C1022" s="15">
        <v>2</v>
      </c>
      <c r="D1022" s="15" t="s">
        <v>384</v>
      </c>
      <c r="E1022" s="15">
        <v>19</v>
      </c>
    </row>
    <row r="1023" spans="1:5" x14ac:dyDescent="0.25">
      <c r="A1023" s="15" t="s">
        <v>51</v>
      </c>
      <c r="B1023" s="17">
        <f t="shared" si="17"/>
        <v>41753</v>
      </c>
      <c r="C1023" s="15">
        <v>1</v>
      </c>
      <c r="D1023" s="15" t="s">
        <v>385</v>
      </c>
      <c r="E1023" s="15">
        <v>1</v>
      </c>
    </row>
    <row r="1024" spans="1:5" x14ac:dyDescent="0.25">
      <c r="A1024" s="15" t="s">
        <v>51</v>
      </c>
      <c r="B1024" s="17">
        <f t="shared" si="17"/>
        <v>41753</v>
      </c>
      <c r="C1024" s="15">
        <v>1</v>
      </c>
      <c r="D1024" s="15" t="s">
        <v>484</v>
      </c>
      <c r="E1024" s="15">
        <v>34</v>
      </c>
    </row>
    <row r="1025" spans="1:5" x14ac:dyDescent="0.25">
      <c r="A1025" s="15" t="s">
        <v>51</v>
      </c>
      <c r="B1025" s="17">
        <f t="shared" si="17"/>
        <v>41753</v>
      </c>
      <c r="C1025" s="15">
        <v>2</v>
      </c>
      <c r="D1025" s="15" t="s">
        <v>484</v>
      </c>
      <c r="E1025" s="15">
        <v>26</v>
      </c>
    </row>
    <row r="1026" spans="1:5" x14ac:dyDescent="0.25">
      <c r="A1026" s="15" t="s">
        <v>51</v>
      </c>
      <c r="B1026" s="17">
        <f t="shared" si="17"/>
        <v>41753</v>
      </c>
      <c r="C1026" s="15">
        <v>1</v>
      </c>
      <c r="D1026" s="15" t="s">
        <v>405</v>
      </c>
      <c r="E1026" s="15">
        <v>3</v>
      </c>
    </row>
    <row r="1027" spans="1:5" x14ac:dyDescent="0.25">
      <c r="A1027" s="15" t="s">
        <v>51</v>
      </c>
      <c r="B1027" s="17">
        <f t="shared" si="17"/>
        <v>41753</v>
      </c>
      <c r="C1027" s="15">
        <v>2</v>
      </c>
      <c r="D1027" s="15" t="s">
        <v>405</v>
      </c>
      <c r="E1027" s="15">
        <v>8</v>
      </c>
    </row>
    <row r="1028" spans="1:5" x14ac:dyDescent="0.25">
      <c r="A1028" s="15" t="s">
        <v>51</v>
      </c>
      <c r="B1028" s="17">
        <f t="shared" si="17"/>
        <v>41753</v>
      </c>
      <c r="C1028" s="15">
        <v>1</v>
      </c>
      <c r="D1028" s="15" t="s">
        <v>66</v>
      </c>
      <c r="E1028" s="15">
        <v>2</v>
      </c>
    </row>
    <row r="1029" spans="1:5" x14ac:dyDescent="0.25">
      <c r="A1029" s="15" t="s">
        <v>51</v>
      </c>
      <c r="B1029" s="17">
        <f t="shared" si="17"/>
        <v>41753</v>
      </c>
      <c r="C1029" s="15">
        <v>2</v>
      </c>
      <c r="D1029" s="15" t="s">
        <v>66</v>
      </c>
      <c r="E1029" s="15">
        <v>1</v>
      </c>
    </row>
    <row r="1030" spans="1:5" x14ac:dyDescent="0.25">
      <c r="A1030" s="15" t="s">
        <v>51</v>
      </c>
      <c r="B1030" s="17">
        <f t="shared" si="17"/>
        <v>41753</v>
      </c>
      <c r="C1030" s="15">
        <v>1</v>
      </c>
      <c r="D1030" s="15" t="s">
        <v>485</v>
      </c>
      <c r="E1030" s="15">
        <v>23</v>
      </c>
    </row>
    <row r="1031" spans="1:5" x14ac:dyDescent="0.25">
      <c r="A1031" s="15" t="s">
        <v>51</v>
      </c>
      <c r="B1031" s="17">
        <f t="shared" si="17"/>
        <v>41753</v>
      </c>
      <c r="C1031" s="15">
        <v>2</v>
      </c>
      <c r="D1031" s="15" t="s">
        <v>485</v>
      </c>
      <c r="E1031" s="15">
        <v>25</v>
      </c>
    </row>
    <row r="1032" spans="1:5" x14ac:dyDescent="0.25">
      <c r="A1032" s="15" t="s">
        <v>51</v>
      </c>
      <c r="B1032" s="17">
        <f t="shared" si="17"/>
        <v>41753</v>
      </c>
      <c r="C1032" s="15">
        <v>1</v>
      </c>
      <c r="D1032" s="15" t="s">
        <v>486</v>
      </c>
      <c r="E1032" s="15">
        <v>1</v>
      </c>
    </row>
    <row r="1033" spans="1:5" x14ac:dyDescent="0.25">
      <c r="A1033" s="15" t="s">
        <v>51</v>
      </c>
      <c r="B1033" s="17">
        <f t="shared" si="17"/>
        <v>41753</v>
      </c>
      <c r="C1033" s="15">
        <v>1</v>
      </c>
      <c r="D1033" s="15" t="s">
        <v>487</v>
      </c>
      <c r="E1033" s="15">
        <v>2</v>
      </c>
    </row>
    <row r="1034" spans="1:5" x14ac:dyDescent="0.25">
      <c r="A1034" s="15" t="s">
        <v>51</v>
      </c>
      <c r="B1034" s="17">
        <f t="shared" si="17"/>
        <v>41753</v>
      </c>
      <c r="C1034" s="15">
        <v>1</v>
      </c>
      <c r="D1034" s="15" t="s">
        <v>488</v>
      </c>
      <c r="E1034" s="15">
        <v>1</v>
      </c>
    </row>
    <row r="1035" spans="1:5" x14ac:dyDescent="0.25">
      <c r="A1035" s="15" t="s">
        <v>51</v>
      </c>
      <c r="B1035" s="17">
        <f t="shared" si="17"/>
        <v>41753</v>
      </c>
      <c r="C1035" s="15">
        <v>2</v>
      </c>
      <c r="D1035" s="15" t="s">
        <v>488</v>
      </c>
      <c r="E1035" s="15">
        <v>3</v>
      </c>
    </row>
    <row r="1036" spans="1:5" x14ac:dyDescent="0.25">
      <c r="A1036" s="15" t="s">
        <v>51</v>
      </c>
      <c r="B1036" s="17">
        <f t="shared" si="17"/>
        <v>41753</v>
      </c>
      <c r="C1036" s="15">
        <v>1</v>
      </c>
      <c r="D1036" s="15" t="s">
        <v>489</v>
      </c>
      <c r="E1036" s="15">
        <v>1</v>
      </c>
    </row>
    <row r="1037" spans="1:5" x14ac:dyDescent="0.25">
      <c r="A1037" s="15" t="s">
        <v>51</v>
      </c>
      <c r="B1037" s="17">
        <f t="shared" si="17"/>
        <v>41753</v>
      </c>
      <c r="C1037" s="15">
        <v>2</v>
      </c>
      <c r="D1037" s="15" t="s">
        <v>490</v>
      </c>
      <c r="E1037" s="15">
        <v>1</v>
      </c>
    </row>
    <row r="1038" spans="1:5" x14ac:dyDescent="0.25">
      <c r="A1038" s="15" t="s">
        <v>51</v>
      </c>
      <c r="B1038" s="17">
        <f t="shared" si="17"/>
        <v>41753</v>
      </c>
      <c r="C1038" s="15">
        <v>1</v>
      </c>
      <c r="D1038" s="15" t="s">
        <v>333</v>
      </c>
      <c r="E1038" s="15">
        <v>23</v>
      </c>
    </row>
    <row r="1039" spans="1:5" x14ac:dyDescent="0.25">
      <c r="A1039" s="15" t="s">
        <v>51</v>
      </c>
      <c r="B1039" s="17">
        <f t="shared" si="17"/>
        <v>41753</v>
      </c>
      <c r="C1039" s="15">
        <v>2</v>
      </c>
      <c r="D1039" s="15" t="s">
        <v>333</v>
      </c>
      <c r="E1039" s="15">
        <v>31</v>
      </c>
    </row>
    <row r="1040" spans="1:5" x14ac:dyDescent="0.25">
      <c r="A1040" s="15" t="s">
        <v>51</v>
      </c>
      <c r="B1040" s="17">
        <f t="shared" si="17"/>
        <v>41753</v>
      </c>
      <c r="C1040" s="15">
        <v>1</v>
      </c>
      <c r="D1040" s="15" t="s">
        <v>361</v>
      </c>
      <c r="E1040" s="15">
        <v>3</v>
      </c>
    </row>
    <row r="1041" spans="1:5" x14ac:dyDescent="0.25">
      <c r="A1041" s="15" t="s">
        <v>51</v>
      </c>
      <c r="B1041" s="17">
        <f t="shared" si="17"/>
        <v>41753</v>
      </c>
      <c r="C1041" s="15">
        <v>2</v>
      </c>
      <c r="D1041" s="15" t="s">
        <v>361</v>
      </c>
      <c r="E1041" s="15">
        <v>2</v>
      </c>
    </row>
    <row r="1042" spans="1:5" x14ac:dyDescent="0.25">
      <c r="A1042" s="15" t="s">
        <v>51</v>
      </c>
      <c r="B1042" s="17">
        <f t="shared" si="17"/>
        <v>41753</v>
      </c>
      <c r="C1042" s="15">
        <v>1</v>
      </c>
      <c r="D1042" s="15" t="s">
        <v>344</v>
      </c>
      <c r="E1042" s="15">
        <v>1</v>
      </c>
    </row>
    <row r="1043" spans="1:5" x14ac:dyDescent="0.25">
      <c r="A1043" s="15" t="s">
        <v>51</v>
      </c>
      <c r="B1043" s="17">
        <f t="shared" si="17"/>
        <v>41753</v>
      </c>
      <c r="C1043" s="15">
        <v>1</v>
      </c>
      <c r="D1043" s="15" t="s">
        <v>374</v>
      </c>
      <c r="E1043" s="15">
        <v>2</v>
      </c>
    </row>
    <row r="1044" spans="1:5" x14ac:dyDescent="0.25">
      <c r="A1044" s="15" t="s">
        <v>51</v>
      </c>
      <c r="B1044" s="17">
        <f t="shared" si="17"/>
        <v>41753</v>
      </c>
      <c r="C1044" s="15">
        <v>2</v>
      </c>
      <c r="D1044" s="15" t="s">
        <v>374</v>
      </c>
      <c r="E1044" s="15">
        <v>4</v>
      </c>
    </row>
    <row r="1045" spans="1:5" x14ac:dyDescent="0.25">
      <c r="A1045" s="15" t="s">
        <v>51</v>
      </c>
      <c r="B1045" s="17">
        <f t="shared" si="17"/>
        <v>41753</v>
      </c>
      <c r="C1045" s="15">
        <v>2</v>
      </c>
      <c r="D1045" s="15" t="s">
        <v>491</v>
      </c>
      <c r="E1045" s="15">
        <v>1</v>
      </c>
    </row>
    <row r="1046" spans="1:5" x14ac:dyDescent="0.25">
      <c r="A1046" s="15" t="s">
        <v>51</v>
      </c>
      <c r="B1046" s="17">
        <f t="shared" si="17"/>
        <v>41753</v>
      </c>
      <c r="C1046" s="15">
        <v>1</v>
      </c>
      <c r="D1046" s="15" t="s">
        <v>492</v>
      </c>
      <c r="E1046" s="15">
        <v>2</v>
      </c>
    </row>
    <row r="1047" spans="1:5" x14ac:dyDescent="0.25">
      <c r="A1047" s="15" t="s">
        <v>51</v>
      </c>
      <c r="B1047" s="17">
        <v>41957</v>
      </c>
      <c r="C1047" s="15">
        <v>1</v>
      </c>
      <c r="D1047" s="15" t="s">
        <v>74</v>
      </c>
      <c r="E1047" s="15">
        <v>4</v>
      </c>
    </row>
    <row r="1048" spans="1:5" x14ac:dyDescent="0.25">
      <c r="A1048" s="15" t="s">
        <v>51</v>
      </c>
      <c r="B1048" s="17">
        <f t="shared" ref="B1048:B1082" si="18">B1047</f>
        <v>41957</v>
      </c>
      <c r="C1048" s="15">
        <v>2</v>
      </c>
      <c r="D1048" s="15" t="s">
        <v>74</v>
      </c>
      <c r="E1048" s="15">
        <v>3</v>
      </c>
    </row>
    <row r="1049" spans="1:5" x14ac:dyDescent="0.25">
      <c r="A1049" s="15" t="s">
        <v>51</v>
      </c>
      <c r="B1049" s="17">
        <f t="shared" si="18"/>
        <v>41957</v>
      </c>
      <c r="C1049" s="15">
        <v>1</v>
      </c>
      <c r="D1049" s="15" t="s">
        <v>76</v>
      </c>
      <c r="E1049" s="15">
        <v>2</v>
      </c>
    </row>
    <row r="1050" spans="1:5" x14ac:dyDescent="0.25">
      <c r="A1050" s="15" t="s">
        <v>51</v>
      </c>
      <c r="B1050" s="17">
        <f t="shared" si="18"/>
        <v>41957</v>
      </c>
      <c r="C1050" s="15">
        <v>2</v>
      </c>
      <c r="D1050" s="15" t="s">
        <v>76</v>
      </c>
      <c r="E1050" s="15">
        <v>3</v>
      </c>
    </row>
    <row r="1051" spans="1:5" x14ac:dyDescent="0.25">
      <c r="A1051" s="15" t="s">
        <v>51</v>
      </c>
      <c r="B1051" s="17">
        <f t="shared" si="18"/>
        <v>41957</v>
      </c>
      <c r="C1051" s="15">
        <v>1</v>
      </c>
      <c r="D1051" s="15" t="s">
        <v>336</v>
      </c>
      <c r="E1051" s="15">
        <v>1</v>
      </c>
    </row>
    <row r="1052" spans="1:5" x14ac:dyDescent="0.25">
      <c r="A1052" s="15" t="s">
        <v>51</v>
      </c>
      <c r="B1052" s="17">
        <f t="shared" si="18"/>
        <v>41957</v>
      </c>
      <c r="C1052" s="15">
        <v>1</v>
      </c>
      <c r="D1052" s="15" t="s">
        <v>325</v>
      </c>
      <c r="E1052" s="15">
        <v>3</v>
      </c>
    </row>
    <row r="1053" spans="1:5" x14ac:dyDescent="0.25">
      <c r="A1053" s="15" t="s">
        <v>51</v>
      </c>
      <c r="B1053" s="17">
        <f t="shared" si="18"/>
        <v>41957</v>
      </c>
      <c r="C1053" s="15">
        <v>2</v>
      </c>
      <c r="D1053" s="15" t="s">
        <v>325</v>
      </c>
      <c r="E1053" s="15">
        <v>3</v>
      </c>
    </row>
    <row r="1054" spans="1:5" x14ac:dyDescent="0.25">
      <c r="A1054" s="15" t="s">
        <v>51</v>
      </c>
      <c r="B1054" s="17">
        <f t="shared" si="18"/>
        <v>41957</v>
      </c>
      <c r="C1054" s="15">
        <v>1</v>
      </c>
      <c r="D1054" s="15" t="s">
        <v>326</v>
      </c>
      <c r="E1054" s="15">
        <v>1</v>
      </c>
    </row>
    <row r="1055" spans="1:5" x14ac:dyDescent="0.25">
      <c r="A1055" s="15" t="s">
        <v>51</v>
      </c>
      <c r="B1055" s="17">
        <f t="shared" si="18"/>
        <v>41957</v>
      </c>
      <c r="C1055" s="15">
        <v>2</v>
      </c>
      <c r="D1055" s="15" t="s">
        <v>82</v>
      </c>
      <c r="E1055" s="15">
        <v>1</v>
      </c>
    </row>
    <row r="1056" spans="1:5" x14ac:dyDescent="0.25">
      <c r="A1056" s="15" t="s">
        <v>51</v>
      </c>
      <c r="B1056" s="17">
        <f t="shared" si="18"/>
        <v>41957</v>
      </c>
      <c r="C1056" s="15">
        <v>1</v>
      </c>
      <c r="D1056" s="15" t="s">
        <v>368</v>
      </c>
      <c r="E1056" s="15">
        <v>2</v>
      </c>
    </row>
    <row r="1057" spans="1:5" x14ac:dyDescent="0.25">
      <c r="A1057" s="15" t="s">
        <v>51</v>
      </c>
      <c r="B1057" s="17">
        <f t="shared" si="18"/>
        <v>41957</v>
      </c>
      <c r="C1057" s="15">
        <v>1</v>
      </c>
      <c r="D1057" s="15" t="s">
        <v>83</v>
      </c>
      <c r="E1057" s="15">
        <v>28</v>
      </c>
    </row>
    <row r="1058" spans="1:5" x14ac:dyDescent="0.25">
      <c r="A1058" s="15" t="s">
        <v>51</v>
      </c>
      <c r="B1058" s="17">
        <f t="shared" si="18"/>
        <v>41957</v>
      </c>
      <c r="C1058" s="15">
        <v>2</v>
      </c>
      <c r="D1058" s="15" t="s">
        <v>83</v>
      </c>
      <c r="E1058" s="15">
        <v>24</v>
      </c>
    </row>
    <row r="1059" spans="1:5" x14ac:dyDescent="0.25">
      <c r="A1059" s="15" t="s">
        <v>51</v>
      </c>
      <c r="B1059" s="17">
        <f t="shared" si="18"/>
        <v>41957</v>
      </c>
      <c r="C1059" s="15">
        <v>1</v>
      </c>
      <c r="D1059" s="15" t="s">
        <v>430</v>
      </c>
      <c r="E1059" s="15">
        <v>2</v>
      </c>
    </row>
    <row r="1060" spans="1:5" x14ac:dyDescent="0.25">
      <c r="A1060" s="15" t="s">
        <v>51</v>
      </c>
      <c r="B1060" s="17">
        <f t="shared" si="18"/>
        <v>41957</v>
      </c>
      <c r="C1060" s="15">
        <v>2</v>
      </c>
      <c r="D1060" s="15" t="s">
        <v>430</v>
      </c>
      <c r="E1060" s="15">
        <v>1</v>
      </c>
    </row>
    <row r="1061" spans="1:5" x14ac:dyDescent="0.25">
      <c r="A1061" s="15" t="s">
        <v>51</v>
      </c>
      <c r="B1061" s="17">
        <f t="shared" si="18"/>
        <v>41957</v>
      </c>
      <c r="C1061" s="15">
        <v>1</v>
      </c>
      <c r="D1061" s="15" t="s">
        <v>384</v>
      </c>
      <c r="E1061" s="15">
        <v>48</v>
      </c>
    </row>
    <row r="1062" spans="1:5" x14ac:dyDescent="0.25">
      <c r="A1062" s="15" t="s">
        <v>51</v>
      </c>
      <c r="B1062" s="17">
        <f t="shared" si="18"/>
        <v>41957</v>
      </c>
      <c r="C1062" s="15">
        <v>2</v>
      </c>
      <c r="D1062" s="15" t="s">
        <v>384</v>
      </c>
      <c r="E1062" s="15">
        <v>37</v>
      </c>
    </row>
    <row r="1063" spans="1:5" x14ac:dyDescent="0.25">
      <c r="A1063" s="15" t="s">
        <v>51</v>
      </c>
      <c r="B1063" s="17">
        <f t="shared" si="18"/>
        <v>41957</v>
      </c>
      <c r="C1063" s="15">
        <v>1</v>
      </c>
      <c r="D1063" s="15" t="s">
        <v>385</v>
      </c>
      <c r="E1063" s="15">
        <v>1</v>
      </c>
    </row>
    <row r="1064" spans="1:5" x14ac:dyDescent="0.25">
      <c r="A1064" s="15" t="s">
        <v>51</v>
      </c>
      <c r="B1064" s="17">
        <f t="shared" si="18"/>
        <v>41957</v>
      </c>
      <c r="C1064" s="15">
        <v>1</v>
      </c>
      <c r="D1064" s="15" t="s">
        <v>372</v>
      </c>
      <c r="E1064" s="15">
        <v>30</v>
      </c>
    </row>
    <row r="1065" spans="1:5" x14ac:dyDescent="0.25">
      <c r="A1065" s="15" t="s">
        <v>51</v>
      </c>
      <c r="B1065" s="17">
        <f t="shared" si="18"/>
        <v>41957</v>
      </c>
      <c r="C1065" s="15">
        <v>2</v>
      </c>
      <c r="D1065" s="15" t="s">
        <v>372</v>
      </c>
      <c r="E1065" s="15">
        <v>42</v>
      </c>
    </row>
    <row r="1066" spans="1:5" x14ac:dyDescent="0.25">
      <c r="A1066" s="15" t="s">
        <v>51</v>
      </c>
      <c r="B1066" s="17">
        <f t="shared" si="18"/>
        <v>41957</v>
      </c>
      <c r="C1066" s="15">
        <v>1</v>
      </c>
      <c r="D1066" s="15" t="s">
        <v>493</v>
      </c>
      <c r="E1066" s="15">
        <v>1</v>
      </c>
    </row>
    <row r="1067" spans="1:5" x14ac:dyDescent="0.25">
      <c r="A1067" s="15" t="s">
        <v>51</v>
      </c>
      <c r="B1067" s="17">
        <f t="shared" si="18"/>
        <v>41957</v>
      </c>
      <c r="C1067" s="15">
        <v>2</v>
      </c>
      <c r="D1067" s="15" t="s">
        <v>405</v>
      </c>
      <c r="E1067" s="15">
        <v>4</v>
      </c>
    </row>
    <row r="1068" spans="1:5" x14ac:dyDescent="0.25">
      <c r="A1068" s="15" t="s">
        <v>51</v>
      </c>
      <c r="B1068" s="17">
        <f t="shared" si="18"/>
        <v>41957</v>
      </c>
      <c r="C1068" s="15">
        <v>2</v>
      </c>
      <c r="D1068" s="15" t="s">
        <v>467</v>
      </c>
      <c r="E1068" s="15">
        <v>1</v>
      </c>
    </row>
    <row r="1069" spans="1:5" x14ac:dyDescent="0.25">
      <c r="A1069" s="15" t="s">
        <v>51</v>
      </c>
      <c r="B1069" s="17">
        <f t="shared" si="18"/>
        <v>41957</v>
      </c>
      <c r="C1069" s="15">
        <v>1</v>
      </c>
      <c r="D1069" s="15" t="s">
        <v>352</v>
      </c>
      <c r="E1069" s="15">
        <v>2</v>
      </c>
    </row>
    <row r="1070" spans="1:5" x14ac:dyDescent="0.25">
      <c r="A1070" s="15" t="s">
        <v>51</v>
      </c>
      <c r="B1070" s="17">
        <f t="shared" si="18"/>
        <v>41957</v>
      </c>
      <c r="C1070" s="15">
        <v>2</v>
      </c>
      <c r="D1070" s="15" t="s">
        <v>352</v>
      </c>
      <c r="E1070" s="15">
        <v>1</v>
      </c>
    </row>
    <row r="1071" spans="1:5" x14ac:dyDescent="0.25">
      <c r="A1071" s="15" t="s">
        <v>51</v>
      </c>
      <c r="B1071" s="17">
        <f t="shared" si="18"/>
        <v>41957</v>
      </c>
      <c r="C1071" s="15">
        <v>1</v>
      </c>
      <c r="D1071" s="15" t="s">
        <v>331</v>
      </c>
      <c r="E1071" s="15">
        <v>2</v>
      </c>
    </row>
    <row r="1072" spans="1:5" x14ac:dyDescent="0.25">
      <c r="A1072" s="15" t="s">
        <v>51</v>
      </c>
      <c r="B1072" s="17">
        <f t="shared" si="18"/>
        <v>41957</v>
      </c>
      <c r="C1072" s="15">
        <v>2</v>
      </c>
      <c r="D1072" s="15" t="s">
        <v>331</v>
      </c>
      <c r="E1072" s="15">
        <v>8</v>
      </c>
    </row>
    <row r="1073" spans="1:5" x14ac:dyDescent="0.25">
      <c r="A1073" s="15" t="s">
        <v>51</v>
      </c>
      <c r="B1073" s="17">
        <f t="shared" si="18"/>
        <v>41957</v>
      </c>
      <c r="C1073" s="15">
        <v>1</v>
      </c>
      <c r="D1073" s="15" t="s">
        <v>494</v>
      </c>
      <c r="E1073" s="15">
        <v>13</v>
      </c>
    </row>
    <row r="1074" spans="1:5" x14ac:dyDescent="0.25">
      <c r="A1074" s="15" t="s">
        <v>51</v>
      </c>
      <c r="B1074" s="17">
        <f t="shared" si="18"/>
        <v>41957</v>
      </c>
      <c r="C1074" s="15">
        <v>2</v>
      </c>
      <c r="D1074" s="15" t="s">
        <v>494</v>
      </c>
      <c r="E1074" s="15">
        <v>6</v>
      </c>
    </row>
    <row r="1075" spans="1:5" x14ac:dyDescent="0.25">
      <c r="A1075" s="15" t="s">
        <v>51</v>
      </c>
      <c r="B1075" s="17">
        <f t="shared" si="18"/>
        <v>41957</v>
      </c>
      <c r="C1075" s="15">
        <v>1</v>
      </c>
      <c r="D1075" s="15" t="s">
        <v>332</v>
      </c>
      <c r="E1075" s="15">
        <v>1</v>
      </c>
    </row>
    <row r="1076" spans="1:5" x14ac:dyDescent="0.25">
      <c r="A1076" s="15" t="s">
        <v>51</v>
      </c>
      <c r="B1076" s="17">
        <f t="shared" si="18"/>
        <v>41957</v>
      </c>
      <c r="C1076" s="15">
        <v>1</v>
      </c>
      <c r="D1076" s="15" t="s">
        <v>66</v>
      </c>
      <c r="E1076" s="15">
        <v>3</v>
      </c>
    </row>
    <row r="1077" spans="1:5" x14ac:dyDescent="0.25">
      <c r="A1077" s="15" t="s">
        <v>51</v>
      </c>
      <c r="B1077" s="17">
        <f t="shared" si="18"/>
        <v>41957</v>
      </c>
      <c r="C1077" s="15">
        <v>2</v>
      </c>
      <c r="D1077" s="15" t="s">
        <v>66</v>
      </c>
      <c r="E1077" s="15">
        <v>7</v>
      </c>
    </row>
    <row r="1078" spans="1:5" x14ac:dyDescent="0.25">
      <c r="A1078" s="15" t="s">
        <v>51</v>
      </c>
      <c r="B1078" s="17">
        <f t="shared" si="18"/>
        <v>41957</v>
      </c>
      <c r="C1078" s="15">
        <v>1</v>
      </c>
      <c r="D1078" s="15" t="s">
        <v>333</v>
      </c>
      <c r="E1078" s="15">
        <v>6</v>
      </c>
    </row>
    <row r="1079" spans="1:5" x14ac:dyDescent="0.25">
      <c r="A1079" s="15" t="s">
        <v>51</v>
      </c>
      <c r="B1079" s="17">
        <f t="shared" si="18"/>
        <v>41957</v>
      </c>
      <c r="C1079" s="15">
        <v>2</v>
      </c>
      <c r="D1079" s="15" t="s">
        <v>333</v>
      </c>
      <c r="E1079" s="15">
        <v>9</v>
      </c>
    </row>
    <row r="1080" spans="1:5" x14ac:dyDescent="0.25">
      <c r="A1080" s="15" t="s">
        <v>51</v>
      </c>
      <c r="B1080" s="17">
        <f t="shared" si="18"/>
        <v>41957</v>
      </c>
      <c r="C1080" s="15">
        <v>2</v>
      </c>
      <c r="D1080" s="15" t="s">
        <v>445</v>
      </c>
      <c r="E1080" s="15">
        <v>1</v>
      </c>
    </row>
    <row r="1081" spans="1:5" x14ac:dyDescent="0.25">
      <c r="A1081" s="15" t="s">
        <v>51</v>
      </c>
      <c r="B1081" s="17">
        <f t="shared" si="18"/>
        <v>41957</v>
      </c>
      <c r="C1081" s="15">
        <v>1</v>
      </c>
      <c r="D1081" s="15" t="s">
        <v>459</v>
      </c>
      <c r="E1081" s="15">
        <v>1</v>
      </c>
    </row>
    <row r="1082" spans="1:5" x14ac:dyDescent="0.25">
      <c r="A1082" s="15" t="s">
        <v>51</v>
      </c>
      <c r="B1082" s="17">
        <f t="shared" si="18"/>
        <v>41957</v>
      </c>
      <c r="C1082" s="15">
        <v>1</v>
      </c>
      <c r="D1082" s="15" t="s">
        <v>334</v>
      </c>
      <c r="E1082" s="15">
        <v>1</v>
      </c>
    </row>
    <row r="1083" spans="1:5" x14ac:dyDescent="0.25">
      <c r="A1083" s="15" t="s">
        <v>53</v>
      </c>
      <c r="B1083" s="17">
        <v>42010</v>
      </c>
      <c r="C1083" s="15">
        <v>1</v>
      </c>
      <c r="D1083" s="15" t="s">
        <v>324</v>
      </c>
      <c r="E1083" s="15">
        <v>1</v>
      </c>
    </row>
    <row r="1084" spans="1:5" x14ac:dyDescent="0.25">
      <c r="A1084" s="15" t="s">
        <v>53</v>
      </c>
      <c r="B1084" s="17">
        <f t="shared" ref="B1084:B1115" si="19">B1083</f>
        <v>42010</v>
      </c>
      <c r="C1084" s="15">
        <v>1</v>
      </c>
      <c r="D1084" s="15" t="s">
        <v>97</v>
      </c>
      <c r="E1084" s="15">
        <v>1</v>
      </c>
    </row>
    <row r="1085" spans="1:5" x14ac:dyDescent="0.25">
      <c r="A1085" s="15" t="s">
        <v>53</v>
      </c>
      <c r="B1085" s="17">
        <f t="shared" si="19"/>
        <v>42010</v>
      </c>
      <c r="C1085" s="15">
        <v>2</v>
      </c>
      <c r="D1085" s="15" t="s">
        <v>365</v>
      </c>
      <c r="E1085" s="15">
        <v>2</v>
      </c>
    </row>
    <row r="1086" spans="1:5" x14ac:dyDescent="0.25">
      <c r="A1086" s="15" t="s">
        <v>53</v>
      </c>
      <c r="B1086" s="17">
        <f t="shared" si="19"/>
        <v>42010</v>
      </c>
      <c r="C1086" s="15">
        <v>1</v>
      </c>
      <c r="D1086" s="15" t="s">
        <v>76</v>
      </c>
      <c r="E1086" s="15">
        <v>2</v>
      </c>
    </row>
    <row r="1087" spans="1:5" x14ac:dyDescent="0.25">
      <c r="A1087" s="15" t="s">
        <v>53</v>
      </c>
      <c r="B1087" s="17">
        <f t="shared" si="19"/>
        <v>42010</v>
      </c>
      <c r="C1087" s="15">
        <v>2</v>
      </c>
      <c r="D1087" s="15" t="s">
        <v>76</v>
      </c>
      <c r="E1087" s="15">
        <v>2</v>
      </c>
    </row>
    <row r="1088" spans="1:5" x14ac:dyDescent="0.25">
      <c r="A1088" s="15" t="s">
        <v>53</v>
      </c>
      <c r="B1088" s="17">
        <f t="shared" si="19"/>
        <v>42010</v>
      </c>
      <c r="C1088" s="15">
        <v>2</v>
      </c>
      <c r="D1088" s="15" t="s">
        <v>336</v>
      </c>
      <c r="E1088" s="15">
        <v>2</v>
      </c>
    </row>
    <row r="1089" spans="1:5" x14ac:dyDescent="0.25">
      <c r="A1089" s="15" t="s">
        <v>53</v>
      </c>
      <c r="B1089" s="17">
        <f t="shared" si="19"/>
        <v>42010</v>
      </c>
      <c r="C1089" s="15">
        <v>1</v>
      </c>
      <c r="D1089" s="15" t="s">
        <v>325</v>
      </c>
      <c r="E1089" s="15">
        <v>1</v>
      </c>
    </row>
    <row r="1090" spans="1:5" x14ac:dyDescent="0.25">
      <c r="A1090" s="15" t="s">
        <v>53</v>
      </c>
      <c r="B1090" s="17">
        <f t="shared" si="19"/>
        <v>42010</v>
      </c>
      <c r="C1090" s="15">
        <v>2</v>
      </c>
      <c r="D1090" s="15" t="s">
        <v>495</v>
      </c>
      <c r="E1090" s="15">
        <v>1</v>
      </c>
    </row>
    <row r="1091" spans="1:5" x14ac:dyDescent="0.25">
      <c r="A1091" s="15" t="s">
        <v>53</v>
      </c>
      <c r="B1091" s="17">
        <f t="shared" si="19"/>
        <v>42010</v>
      </c>
      <c r="C1091" s="15">
        <v>2</v>
      </c>
      <c r="D1091" s="15" t="s">
        <v>496</v>
      </c>
      <c r="E1091" s="15">
        <v>1</v>
      </c>
    </row>
    <row r="1092" spans="1:5" x14ac:dyDescent="0.25">
      <c r="A1092" s="15" t="s">
        <v>53</v>
      </c>
      <c r="B1092" s="17">
        <f t="shared" si="19"/>
        <v>42010</v>
      </c>
      <c r="C1092" s="15">
        <v>2</v>
      </c>
      <c r="D1092" s="15" t="s">
        <v>455</v>
      </c>
      <c r="E1092" s="15">
        <v>1</v>
      </c>
    </row>
    <row r="1093" spans="1:5" x14ac:dyDescent="0.25">
      <c r="A1093" s="15" t="s">
        <v>53</v>
      </c>
      <c r="B1093" s="17">
        <f t="shared" si="19"/>
        <v>42010</v>
      </c>
      <c r="C1093" s="15">
        <v>1</v>
      </c>
      <c r="D1093" s="15" t="s">
        <v>339</v>
      </c>
      <c r="E1093" s="15">
        <v>1</v>
      </c>
    </row>
    <row r="1094" spans="1:5" x14ac:dyDescent="0.25">
      <c r="A1094" s="15" t="s">
        <v>53</v>
      </c>
      <c r="B1094" s="17">
        <f t="shared" si="19"/>
        <v>42010</v>
      </c>
      <c r="C1094" s="15">
        <v>2</v>
      </c>
      <c r="D1094" s="15" t="s">
        <v>339</v>
      </c>
      <c r="E1094" s="15">
        <v>2</v>
      </c>
    </row>
    <row r="1095" spans="1:5" x14ac:dyDescent="0.25">
      <c r="A1095" s="15" t="s">
        <v>53</v>
      </c>
      <c r="B1095" s="17">
        <f t="shared" si="19"/>
        <v>42010</v>
      </c>
      <c r="C1095" s="15">
        <v>1</v>
      </c>
      <c r="D1095" s="15" t="s">
        <v>450</v>
      </c>
      <c r="E1095" s="15">
        <v>1</v>
      </c>
    </row>
    <row r="1096" spans="1:5" x14ac:dyDescent="0.25">
      <c r="A1096" s="15" t="s">
        <v>53</v>
      </c>
      <c r="B1096" s="17">
        <f t="shared" si="19"/>
        <v>42010</v>
      </c>
      <c r="C1096" s="15">
        <v>2</v>
      </c>
      <c r="D1096" s="15" t="s">
        <v>450</v>
      </c>
      <c r="E1096" s="15">
        <v>1</v>
      </c>
    </row>
    <row r="1097" spans="1:5" x14ac:dyDescent="0.25">
      <c r="A1097" s="15" t="s">
        <v>53</v>
      </c>
      <c r="B1097" s="17">
        <f t="shared" si="19"/>
        <v>42010</v>
      </c>
      <c r="C1097" s="15">
        <v>2</v>
      </c>
      <c r="D1097" s="15" t="s">
        <v>389</v>
      </c>
      <c r="E1097" s="15">
        <v>1</v>
      </c>
    </row>
    <row r="1098" spans="1:5" x14ac:dyDescent="0.25">
      <c r="A1098" s="15" t="s">
        <v>53</v>
      </c>
      <c r="B1098" s="17">
        <f t="shared" si="19"/>
        <v>42010</v>
      </c>
      <c r="C1098" s="15">
        <v>1</v>
      </c>
      <c r="D1098" s="15" t="s">
        <v>367</v>
      </c>
      <c r="E1098" s="15">
        <v>2</v>
      </c>
    </row>
    <row r="1099" spans="1:5" x14ac:dyDescent="0.25">
      <c r="A1099" s="15" t="s">
        <v>53</v>
      </c>
      <c r="B1099" s="17">
        <f t="shared" si="19"/>
        <v>42010</v>
      </c>
      <c r="C1099" s="15">
        <v>2</v>
      </c>
      <c r="D1099" s="15" t="s">
        <v>367</v>
      </c>
      <c r="E1099" s="15">
        <v>1</v>
      </c>
    </row>
    <row r="1100" spans="1:5" x14ac:dyDescent="0.25">
      <c r="A1100" s="15" t="s">
        <v>53</v>
      </c>
      <c r="B1100" s="17">
        <f t="shared" si="19"/>
        <v>42010</v>
      </c>
      <c r="C1100" s="15">
        <v>2</v>
      </c>
      <c r="D1100" s="15" t="s">
        <v>497</v>
      </c>
      <c r="E1100" s="15">
        <v>1</v>
      </c>
    </row>
    <row r="1101" spans="1:5" x14ac:dyDescent="0.25">
      <c r="A1101" s="15" t="s">
        <v>53</v>
      </c>
      <c r="B1101" s="17">
        <f t="shared" si="19"/>
        <v>42010</v>
      </c>
      <c r="C1101" s="15">
        <v>1</v>
      </c>
      <c r="D1101" s="15" t="s">
        <v>498</v>
      </c>
      <c r="E1101" s="15">
        <v>1</v>
      </c>
    </row>
    <row r="1102" spans="1:5" x14ac:dyDescent="0.25">
      <c r="A1102" s="15" t="s">
        <v>53</v>
      </c>
      <c r="B1102" s="17">
        <f t="shared" si="19"/>
        <v>42010</v>
      </c>
      <c r="C1102" s="15">
        <v>1</v>
      </c>
      <c r="D1102" s="15" t="s">
        <v>368</v>
      </c>
      <c r="E1102" s="15">
        <v>4</v>
      </c>
    </row>
    <row r="1103" spans="1:5" x14ac:dyDescent="0.25">
      <c r="A1103" s="15" t="s">
        <v>53</v>
      </c>
      <c r="B1103" s="17">
        <f t="shared" si="19"/>
        <v>42010</v>
      </c>
      <c r="C1103" s="15">
        <v>1</v>
      </c>
      <c r="D1103" s="15" t="s">
        <v>499</v>
      </c>
      <c r="E1103" s="15">
        <v>1</v>
      </c>
    </row>
    <row r="1104" spans="1:5" x14ac:dyDescent="0.25">
      <c r="A1104" s="15" t="s">
        <v>53</v>
      </c>
      <c r="B1104" s="17">
        <f t="shared" si="19"/>
        <v>42010</v>
      </c>
      <c r="C1104" s="15">
        <v>2</v>
      </c>
      <c r="D1104" s="15" t="s">
        <v>499</v>
      </c>
      <c r="E1104" s="15">
        <v>1</v>
      </c>
    </row>
    <row r="1105" spans="1:5" x14ac:dyDescent="0.25">
      <c r="A1105" s="15" t="s">
        <v>53</v>
      </c>
      <c r="B1105" s="17">
        <f t="shared" si="19"/>
        <v>42010</v>
      </c>
      <c r="C1105" s="15">
        <v>1</v>
      </c>
      <c r="D1105" s="15" t="s">
        <v>430</v>
      </c>
      <c r="E1105" s="15">
        <v>16</v>
      </c>
    </row>
    <row r="1106" spans="1:5" x14ac:dyDescent="0.25">
      <c r="A1106" s="15" t="s">
        <v>53</v>
      </c>
      <c r="B1106" s="17">
        <f t="shared" si="19"/>
        <v>42010</v>
      </c>
      <c r="C1106" s="15">
        <v>2</v>
      </c>
      <c r="D1106" s="15" t="s">
        <v>430</v>
      </c>
      <c r="E1106" s="15">
        <v>15</v>
      </c>
    </row>
    <row r="1107" spans="1:5" x14ac:dyDescent="0.25">
      <c r="A1107" s="15" t="s">
        <v>53</v>
      </c>
      <c r="B1107" s="17">
        <f t="shared" si="19"/>
        <v>42010</v>
      </c>
      <c r="C1107" s="15">
        <v>2</v>
      </c>
      <c r="D1107" s="15" t="s">
        <v>431</v>
      </c>
      <c r="E1107" s="15">
        <v>2</v>
      </c>
    </row>
    <row r="1108" spans="1:5" x14ac:dyDescent="0.25">
      <c r="A1108" s="15" t="s">
        <v>53</v>
      </c>
      <c r="B1108" s="17">
        <f t="shared" si="19"/>
        <v>42010</v>
      </c>
      <c r="C1108" s="15">
        <v>2</v>
      </c>
      <c r="D1108" s="15" t="s">
        <v>384</v>
      </c>
      <c r="E1108" s="15">
        <v>2</v>
      </c>
    </row>
    <row r="1109" spans="1:5" x14ac:dyDescent="0.25">
      <c r="A1109" s="15" t="s">
        <v>53</v>
      </c>
      <c r="B1109" s="17">
        <f t="shared" si="19"/>
        <v>42010</v>
      </c>
      <c r="C1109" s="15">
        <v>1</v>
      </c>
      <c r="D1109" s="15" t="s">
        <v>329</v>
      </c>
      <c r="E1109" s="15">
        <v>2</v>
      </c>
    </row>
    <row r="1110" spans="1:5" x14ac:dyDescent="0.25">
      <c r="A1110" s="15" t="s">
        <v>53</v>
      </c>
      <c r="B1110" s="17">
        <f t="shared" si="19"/>
        <v>42010</v>
      </c>
      <c r="C1110" s="15">
        <v>2</v>
      </c>
      <c r="D1110" s="15" t="s">
        <v>329</v>
      </c>
      <c r="E1110" s="15">
        <v>1</v>
      </c>
    </row>
    <row r="1111" spans="1:5" x14ac:dyDescent="0.25">
      <c r="A1111" s="15" t="s">
        <v>53</v>
      </c>
      <c r="B1111" s="17">
        <f t="shared" si="19"/>
        <v>42010</v>
      </c>
      <c r="C1111" s="15">
        <v>2</v>
      </c>
      <c r="D1111" s="15" t="s">
        <v>387</v>
      </c>
      <c r="E1111" s="15">
        <v>1</v>
      </c>
    </row>
    <row r="1112" spans="1:5" x14ac:dyDescent="0.25">
      <c r="A1112" s="15" t="s">
        <v>53</v>
      </c>
      <c r="B1112" s="17">
        <f t="shared" si="19"/>
        <v>42010</v>
      </c>
      <c r="C1112" s="15">
        <v>2</v>
      </c>
      <c r="D1112" s="15" t="s">
        <v>351</v>
      </c>
      <c r="E1112" s="15">
        <v>2</v>
      </c>
    </row>
    <row r="1113" spans="1:5" x14ac:dyDescent="0.25">
      <c r="A1113" s="15" t="s">
        <v>53</v>
      </c>
      <c r="B1113" s="17">
        <f t="shared" si="19"/>
        <v>42010</v>
      </c>
      <c r="C1113" s="15">
        <v>1</v>
      </c>
      <c r="D1113" s="15" t="s">
        <v>405</v>
      </c>
      <c r="E1113" s="15">
        <v>4</v>
      </c>
    </row>
    <row r="1114" spans="1:5" x14ac:dyDescent="0.25">
      <c r="A1114" s="15" t="s">
        <v>53</v>
      </c>
      <c r="B1114" s="17">
        <f t="shared" si="19"/>
        <v>42010</v>
      </c>
      <c r="C1114" s="15">
        <v>2</v>
      </c>
      <c r="D1114" s="15" t="s">
        <v>405</v>
      </c>
      <c r="E1114" s="15">
        <v>5</v>
      </c>
    </row>
    <row r="1115" spans="1:5" x14ac:dyDescent="0.25">
      <c r="A1115" s="15" t="s">
        <v>53</v>
      </c>
      <c r="B1115" s="17">
        <f t="shared" si="19"/>
        <v>42010</v>
      </c>
      <c r="C1115" s="15">
        <v>1</v>
      </c>
      <c r="D1115" s="15" t="s">
        <v>330</v>
      </c>
      <c r="E1115" s="15">
        <v>1</v>
      </c>
    </row>
    <row r="1116" spans="1:5" x14ac:dyDescent="0.25">
      <c r="A1116" s="15" t="s">
        <v>53</v>
      </c>
      <c r="B1116" s="17">
        <f t="shared" ref="B1116:B1142" si="20">B1115</f>
        <v>42010</v>
      </c>
      <c r="C1116" s="15">
        <v>1</v>
      </c>
      <c r="D1116" s="15" t="s">
        <v>331</v>
      </c>
      <c r="E1116" s="15">
        <v>3</v>
      </c>
    </row>
    <row r="1117" spans="1:5" x14ac:dyDescent="0.25">
      <c r="A1117" s="15" t="s">
        <v>53</v>
      </c>
      <c r="B1117" s="17">
        <f t="shared" si="20"/>
        <v>42010</v>
      </c>
      <c r="C1117" s="15">
        <v>2</v>
      </c>
      <c r="D1117" s="15" t="s">
        <v>331</v>
      </c>
      <c r="E1117" s="15">
        <v>3</v>
      </c>
    </row>
    <row r="1118" spans="1:5" x14ac:dyDescent="0.25">
      <c r="A1118" s="15" t="s">
        <v>53</v>
      </c>
      <c r="B1118" s="17">
        <f t="shared" si="20"/>
        <v>42010</v>
      </c>
      <c r="C1118" s="15">
        <v>1</v>
      </c>
      <c r="D1118" s="15" t="s">
        <v>423</v>
      </c>
      <c r="E1118" s="15">
        <v>2</v>
      </c>
    </row>
    <row r="1119" spans="1:5" x14ac:dyDescent="0.25">
      <c r="A1119" s="15" t="s">
        <v>53</v>
      </c>
      <c r="B1119" s="17">
        <f t="shared" si="20"/>
        <v>42010</v>
      </c>
      <c r="C1119" s="15">
        <v>2</v>
      </c>
      <c r="D1119" s="15" t="s">
        <v>423</v>
      </c>
      <c r="E1119" s="15">
        <v>5</v>
      </c>
    </row>
    <row r="1120" spans="1:5" x14ac:dyDescent="0.25">
      <c r="A1120" s="15" t="s">
        <v>53</v>
      </c>
      <c r="B1120" s="17">
        <f t="shared" si="20"/>
        <v>42010</v>
      </c>
      <c r="C1120" s="15">
        <v>1</v>
      </c>
      <c r="D1120" s="15" t="s">
        <v>494</v>
      </c>
      <c r="E1120" s="15">
        <v>6</v>
      </c>
    </row>
    <row r="1121" spans="1:5" x14ac:dyDescent="0.25">
      <c r="A1121" s="15" t="s">
        <v>53</v>
      </c>
      <c r="B1121" s="17">
        <f t="shared" si="20"/>
        <v>42010</v>
      </c>
      <c r="C1121" s="15">
        <v>2</v>
      </c>
      <c r="D1121" s="15" t="s">
        <v>494</v>
      </c>
      <c r="E1121" s="15">
        <v>4</v>
      </c>
    </row>
    <row r="1122" spans="1:5" x14ac:dyDescent="0.25">
      <c r="A1122" s="15" t="s">
        <v>53</v>
      </c>
      <c r="B1122" s="17">
        <f t="shared" si="20"/>
        <v>42010</v>
      </c>
      <c r="C1122" s="15">
        <v>2</v>
      </c>
      <c r="D1122" s="15" t="s">
        <v>332</v>
      </c>
      <c r="E1122" s="15">
        <v>1</v>
      </c>
    </row>
    <row r="1123" spans="1:5" x14ac:dyDescent="0.25">
      <c r="A1123" s="15" t="s">
        <v>53</v>
      </c>
      <c r="B1123" s="17">
        <f t="shared" si="20"/>
        <v>42010</v>
      </c>
      <c r="C1123" s="15">
        <v>1</v>
      </c>
      <c r="D1123" s="15" t="s">
        <v>500</v>
      </c>
      <c r="E1123" s="15">
        <v>32</v>
      </c>
    </row>
    <row r="1124" spans="1:5" x14ac:dyDescent="0.25">
      <c r="A1124" s="15" t="s">
        <v>53</v>
      </c>
      <c r="B1124" s="17">
        <f t="shared" si="20"/>
        <v>42010</v>
      </c>
      <c r="C1124" s="15">
        <v>2</v>
      </c>
      <c r="D1124" s="15" t="s">
        <v>444</v>
      </c>
      <c r="E1124" s="15">
        <v>12</v>
      </c>
    </row>
    <row r="1125" spans="1:5" x14ac:dyDescent="0.25">
      <c r="A1125" s="15" t="s">
        <v>53</v>
      </c>
      <c r="B1125" s="17">
        <f t="shared" si="20"/>
        <v>42010</v>
      </c>
      <c r="C1125" s="15">
        <v>2</v>
      </c>
      <c r="D1125" s="15" t="s">
        <v>66</v>
      </c>
      <c r="E1125" s="15">
        <v>33</v>
      </c>
    </row>
    <row r="1126" spans="1:5" x14ac:dyDescent="0.25">
      <c r="A1126" s="15" t="s">
        <v>53</v>
      </c>
      <c r="B1126" s="17">
        <f t="shared" si="20"/>
        <v>42010</v>
      </c>
      <c r="C1126" s="15">
        <v>2</v>
      </c>
      <c r="D1126" s="15" t="s">
        <v>501</v>
      </c>
      <c r="E1126" s="15">
        <v>1</v>
      </c>
    </row>
    <row r="1127" spans="1:5" x14ac:dyDescent="0.25">
      <c r="A1127" s="15" t="s">
        <v>53</v>
      </c>
      <c r="B1127" s="17">
        <f t="shared" si="20"/>
        <v>42010</v>
      </c>
      <c r="C1127" s="15">
        <v>1</v>
      </c>
      <c r="D1127" s="15" t="s">
        <v>333</v>
      </c>
      <c r="E1127" s="15">
        <v>37</v>
      </c>
    </row>
    <row r="1128" spans="1:5" x14ac:dyDescent="0.25">
      <c r="A1128" s="15" t="s">
        <v>53</v>
      </c>
      <c r="B1128" s="17">
        <f t="shared" si="20"/>
        <v>42010</v>
      </c>
      <c r="C1128" s="15">
        <v>2</v>
      </c>
      <c r="D1128" s="15" t="s">
        <v>333</v>
      </c>
      <c r="E1128" s="15">
        <v>31</v>
      </c>
    </row>
    <row r="1129" spans="1:5" x14ac:dyDescent="0.25">
      <c r="A1129" s="15" t="s">
        <v>53</v>
      </c>
      <c r="B1129" s="17">
        <f t="shared" si="20"/>
        <v>42010</v>
      </c>
      <c r="C1129" s="15">
        <v>1</v>
      </c>
      <c r="D1129" s="15" t="s">
        <v>354</v>
      </c>
      <c r="E1129" s="15">
        <v>3</v>
      </c>
    </row>
    <row r="1130" spans="1:5" x14ac:dyDescent="0.25">
      <c r="A1130" s="15" t="s">
        <v>53</v>
      </c>
      <c r="B1130" s="17">
        <f t="shared" si="20"/>
        <v>42010</v>
      </c>
      <c r="C1130" s="15">
        <v>2</v>
      </c>
      <c r="D1130" s="15" t="s">
        <v>354</v>
      </c>
      <c r="E1130" s="15">
        <v>4</v>
      </c>
    </row>
    <row r="1131" spans="1:5" x14ac:dyDescent="0.25">
      <c r="A1131" s="15" t="s">
        <v>53</v>
      </c>
      <c r="B1131" s="17">
        <f t="shared" si="20"/>
        <v>42010</v>
      </c>
      <c r="C1131" s="15">
        <v>1</v>
      </c>
      <c r="D1131" s="15" t="s">
        <v>355</v>
      </c>
      <c r="E1131" s="15">
        <v>1</v>
      </c>
    </row>
    <row r="1132" spans="1:5" x14ac:dyDescent="0.25">
      <c r="A1132" s="15" t="s">
        <v>53</v>
      </c>
      <c r="B1132" s="17">
        <f t="shared" si="20"/>
        <v>42010</v>
      </c>
      <c r="C1132" s="15">
        <v>1</v>
      </c>
      <c r="D1132" s="15" t="s">
        <v>122</v>
      </c>
      <c r="E1132" s="15">
        <v>1</v>
      </c>
    </row>
    <row r="1133" spans="1:5" x14ac:dyDescent="0.25">
      <c r="A1133" s="15" t="s">
        <v>53</v>
      </c>
      <c r="B1133" s="17">
        <f t="shared" si="20"/>
        <v>42010</v>
      </c>
      <c r="C1133" s="15">
        <v>2</v>
      </c>
      <c r="D1133" s="15" t="s">
        <v>122</v>
      </c>
      <c r="E1133" s="15">
        <v>1</v>
      </c>
    </row>
    <row r="1134" spans="1:5" x14ac:dyDescent="0.25">
      <c r="A1134" s="15" t="s">
        <v>53</v>
      </c>
      <c r="B1134" s="17">
        <f t="shared" si="20"/>
        <v>42010</v>
      </c>
      <c r="C1134" s="15">
        <v>1</v>
      </c>
      <c r="D1134" s="15" t="s">
        <v>344</v>
      </c>
      <c r="E1134" s="15">
        <v>1</v>
      </c>
    </row>
    <row r="1135" spans="1:5" x14ac:dyDescent="0.25">
      <c r="A1135" s="15" t="s">
        <v>53</v>
      </c>
      <c r="B1135" s="17">
        <f t="shared" si="20"/>
        <v>42010</v>
      </c>
      <c r="C1135" s="15">
        <v>2</v>
      </c>
      <c r="D1135" s="15" t="s">
        <v>344</v>
      </c>
      <c r="E1135" s="15">
        <v>2</v>
      </c>
    </row>
    <row r="1136" spans="1:5" x14ac:dyDescent="0.25">
      <c r="A1136" s="15" t="s">
        <v>53</v>
      </c>
      <c r="B1136" s="17">
        <f t="shared" si="20"/>
        <v>42010</v>
      </c>
      <c r="C1136" s="15">
        <v>1</v>
      </c>
      <c r="D1136" s="15" t="s">
        <v>361</v>
      </c>
      <c r="E1136" s="15">
        <v>14</v>
      </c>
    </row>
    <row r="1137" spans="1:5" x14ac:dyDescent="0.25">
      <c r="A1137" s="15" t="s">
        <v>53</v>
      </c>
      <c r="B1137" s="17">
        <f t="shared" si="20"/>
        <v>42010</v>
      </c>
      <c r="C1137" s="15">
        <v>2</v>
      </c>
      <c r="D1137" s="15" t="s">
        <v>361</v>
      </c>
      <c r="E1137" s="15">
        <v>2</v>
      </c>
    </row>
    <row r="1138" spans="1:5" x14ac:dyDescent="0.25">
      <c r="A1138" s="15" t="s">
        <v>53</v>
      </c>
      <c r="B1138" s="17">
        <f t="shared" si="20"/>
        <v>42010</v>
      </c>
      <c r="C1138" s="15">
        <v>1</v>
      </c>
      <c r="D1138" s="15" t="s">
        <v>374</v>
      </c>
      <c r="E1138" s="15">
        <v>1</v>
      </c>
    </row>
    <row r="1139" spans="1:5" x14ac:dyDescent="0.25">
      <c r="A1139" s="15" t="s">
        <v>53</v>
      </c>
      <c r="B1139" s="17">
        <f t="shared" si="20"/>
        <v>42010</v>
      </c>
      <c r="C1139" s="15">
        <v>1</v>
      </c>
      <c r="D1139" s="15" t="s">
        <v>459</v>
      </c>
      <c r="E1139" s="15">
        <v>2</v>
      </c>
    </row>
    <row r="1140" spans="1:5" x14ac:dyDescent="0.25">
      <c r="A1140" s="15" t="s">
        <v>53</v>
      </c>
      <c r="B1140" s="17">
        <f t="shared" si="20"/>
        <v>42010</v>
      </c>
      <c r="C1140" s="15">
        <v>2</v>
      </c>
      <c r="D1140" s="15" t="s">
        <v>459</v>
      </c>
      <c r="E1140" s="15">
        <v>1</v>
      </c>
    </row>
    <row r="1141" spans="1:5" x14ac:dyDescent="0.25">
      <c r="A1141" s="15" t="s">
        <v>53</v>
      </c>
      <c r="B1141" s="17">
        <f t="shared" si="20"/>
        <v>42010</v>
      </c>
      <c r="C1141" s="15">
        <v>2</v>
      </c>
      <c r="D1141" s="15" t="s">
        <v>375</v>
      </c>
      <c r="E1141" s="15">
        <v>1</v>
      </c>
    </row>
    <row r="1142" spans="1:5" x14ac:dyDescent="0.25">
      <c r="A1142" s="15" t="s">
        <v>53</v>
      </c>
      <c r="B1142" s="17">
        <f t="shared" si="20"/>
        <v>42010</v>
      </c>
      <c r="C1142" s="15">
        <v>1</v>
      </c>
      <c r="D1142" s="15" t="s">
        <v>502</v>
      </c>
      <c r="E1142" s="15">
        <v>1</v>
      </c>
    </row>
    <row r="1143" spans="1:5" x14ac:dyDescent="0.25">
      <c r="A1143" s="15" t="s">
        <v>53</v>
      </c>
      <c r="B1143" s="17">
        <v>41774</v>
      </c>
      <c r="C1143" s="15">
        <v>1</v>
      </c>
      <c r="D1143" s="15" t="s">
        <v>97</v>
      </c>
      <c r="E1143" s="15">
        <v>4</v>
      </c>
    </row>
    <row r="1144" spans="1:5" x14ac:dyDescent="0.25">
      <c r="A1144" s="15" t="s">
        <v>53</v>
      </c>
      <c r="B1144" s="17">
        <f t="shared" ref="B1144:B1175" si="21">B1143</f>
        <v>41774</v>
      </c>
      <c r="C1144" s="15">
        <v>2</v>
      </c>
      <c r="D1144" s="15" t="s">
        <v>97</v>
      </c>
      <c r="E1144" s="15">
        <v>4</v>
      </c>
    </row>
    <row r="1145" spans="1:5" x14ac:dyDescent="0.25">
      <c r="A1145" s="15" t="s">
        <v>53</v>
      </c>
      <c r="B1145" s="17">
        <f t="shared" si="21"/>
        <v>41774</v>
      </c>
      <c r="C1145" s="15">
        <v>1</v>
      </c>
      <c r="D1145" s="15" t="s">
        <v>76</v>
      </c>
      <c r="E1145" s="15">
        <v>1</v>
      </c>
    </row>
    <row r="1146" spans="1:5" x14ac:dyDescent="0.25">
      <c r="A1146" s="15" t="s">
        <v>53</v>
      </c>
      <c r="B1146" s="17">
        <f t="shared" si="21"/>
        <v>41774</v>
      </c>
      <c r="C1146" s="15">
        <v>1</v>
      </c>
      <c r="D1146" s="15" t="s">
        <v>337</v>
      </c>
      <c r="E1146" s="15">
        <v>3</v>
      </c>
    </row>
    <row r="1147" spans="1:5" x14ac:dyDescent="0.25">
      <c r="A1147" s="15" t="s">
        <v>53</v>
      </c>
      <c r="B1147" s="17">
        <f t="shared" si="21"/>
        <v>41774</v>
      </c>
      <c r="C1147" s="15">
        <v>2</v>
      </c>
      <c r="D1147" s="15" t="s">
        <v>337</v>
      </c>
      <c r="E1147" s="15">
        <v>6</v>
      </c>
    </row>
    <row r="1148" spans="1:5" x14ac:dyDescent="0.25">
      <c r="A1148" s="15" t="s">
        <v>53</v>
      </c>
      <c r="B1148" s="17">
        <f t="shared" si="21"/>
        <v>41774</v>
      </c>
      <c r="C1148" s="15">
        <v>1</v>
      </c>
      <c r="D1148" s="15" t="s">
        <v>325</v>
      </c>
      <c r="E1148" s="15">
        <v>3</v>
      </c>
    </row>
    <row r="1149" spans="1:5" x14ac:dyDescent="0.25">
      <c r="A1149" s="15" t="s">
        <v>53</v>
      </c>
      <c r="B1149" s="17">
        <f t="shared" si="21"/>
        <v>41774</v>
      </c>
      <c r="C1149" s="15">
        <v>2</v>
      </c>
      <c r="D1149" s="15" t="s">
        <v>503</v>
      </c>
      <c r="E1149" s="15">
        <v>1</v>
      </c>
    </row>
    <row r="1150" spans="1:5" x14ac:dyDescent="0.25">
      <c r="A1150" s="15" t="s">
        <v>53</v>
      </c>
      <c r="B1150" s="17">
        <f t="shared" si="21"/>
        <v>41774</v>
      </c>
      <c r="C1150" s="15">
        <v>2</v>
      </c>
      <c r="D1150" s="15" t="s">
        <v>449</v>
      </c>
      <c r="E1150" s="15">
        <v>1</v>
      </c>
    </row>
    <row r="1151" spans="1:5" x14ac:dyDescent="0.25">
      <c r="A1151" s="15" t="s">
        <v>53</v>
      </c>
      <c r="B1151" s="17">
        <f t="shared" si="21"/>
        <v>41774</v>
      </c>
      <c r="C1151" s="15">
        <v>2</v>
      </c>
      <c r="D1151" s="15" t="s">
        <v>412</v>
      </c>
      <c r="E1151" s="15">
        <v>1</v>
      </c>
    </row>
    <row r="1152" spans="1:5" x14ac:dyDescent="0.25">
      <c r="A1152" s="15" t="s">
        <v>53</v>
      </c>
      <c r="B1152" s="17">
        <f t="shared" si="21"/>
        <v>41774</v>
      </c>
      <c r="C1152" s="15">
        <v>2</v>
      </c>
      <c r="D1152" s="15" t="s">
        <v>81</v>
      </c>
      <c r="E1152" s="15">
        <v>1</v>
      </c>
    </row>
    <row r="1153" spans="1:5" x14ac:dyDescent="0.25">
      <c r="A1153" s="15" t="s">
        <v>53</v>
      </c>
      <c r="B1153" s="17">
        <f t="shared" si="21"/>
        <v>41774</v>
      </c>
      <c r="C1153" s="15">
        <v>1</v>
      </c>
      <c r="D1153" s="15" t="s">
        <v>156</v>
      </c>
      <c r="E1153" s="15">
        <v>1</v>
      </c>
    </row>
    <row r="1154" spans="1:5" x14ac:dyDescent="0.25">
      <c r="A1154" s="15" t="s">
        <v>53</v>
      </c>
      <c r="B1154" s="17">
        <f t="shared" si="21"/>
        <v>41774</v>
      </c>
      <c r="C1154" s="15">
        <v>2</v>
      </c>
      <c r="D1154" s="15" t="s">
        <v>504</v>
      </c>
      <c r="E1154" s="15">
        <v>1</v>
      </c>
    </row>
    <row r="1155" spans="1:5" x14ac:dyDescent="0.25">
      <c r="A1155" s="15" t="s">
        <v>53</v>
      </c>
      <c r="B1155" s="17">
        <f t="shared" si="21"/>
        <v>41774</v>
      </c>
      <c r="C1155" s="15">
        <v>1</v>
      </c>
      <c r="D1155" s="15" t="s">
        <v>339</v>
      </c>
      <c r="E1155" s="15">
        <v>1</v>
      </c>
    </row>
    <row r="1156" spans="1:5" x14ac:dyDescent="0.25">
      <c r="A1156" s="15" t="s">
        <v>53</v>
      </c>
      <c r="B1156" s="17">
        <f t="shared" si="21"/>
        <v>41774</v>
      </c>
      <c r="C1156" s="15">
        <v>1</v>
      </c>
      <c r="D1156" s="15" t="s">
        <v>505</v>
      </c>
      <c r="E1156" s="15">
        <v>1</v>
      </c>
    </row>
    <row r="1157" spans="1:5" x14ac:dyDescent="0.25">
      <c r="A1157" s="15" t="s">
        <v>53</v>
      </c>
      <c r="B1157" s="17">
        <f t="shared" si="21"/>
        <v>41774</v>
      </c>
      <c r="C1157" s="15">
        <v>1</v>
      </c>
      <c r="D1157" s="15" t="s">
        <v>506</v>
      </c>
      <c r="E1157" s="15">
        <v>1</v>
      </c>
    </row>
    <row r="1158" spans="1:5" x14ac:dyDescent="0.25">
      <c r="A1158" s="15" t="s">
        <v>53</v>
      </c>
      <c r="B1158" s="17">
        <f t="shared" si="21"/>
        <v>41774</v>
      </c>
      <c r="C1158" s="15">
        <v>1</v>
      </c>
      <c r="D1158" s="15" t="s">
        <v>367</v>
      </c>
      <c r="E1158" s="15">
        <v>1</v>
      </c>
    </row>
    <row r="1159" spans="1:5" x14ac:dyDescent="0.25">
      <c r="A1159" s="15" t="s">
        <v>53</v>
      </c>
      <c r="B1159" s="17">
        <f t="shared" si="21"/>
        <v>41774</v>
      </c>
      <c r="C1159" s="15">
        <v>2</v>
      </c>
      <c r="D1159" s="15" t="s">
        <v>367</v>
      </c>
      <c r="E1159" s="15">
        <v>1</v>
      </c>
    </row>
    <row r="1160" spans="1:5" x14ac:dyDescent="0.25">
      <c r="A1160" s="15" t="s">
        <v>53</v>
      </c>
      <c r="B1160" s="17">
        <f t="shared" si="21"/>
        <v>41774</v>
      </c>
      <c r="C1160" s="15">
        <v>2</v>
      </c>
      <c r="D1160" s="15" t="s">
        <v>350</v>
      </c>
      <c r="E1160" s="15">
        <v>1</v>
      </c>
    </row>
    <row r="1161" spans="1:5" x14ac:dyDescent="0.25">
      <c r="A1161" s="15" t="s">
        <v>53</v>
      </c>
      <c r="B1161" s="17">
        <f t="shared" si="21"/>
        <v>41774</v>
      </c>
      <c r="C1161" s="15">
        <v>1</v>
      </c>
      <c r="D1161" s="15" t="s">
        <v>507</v>
      </c>
      <c r="E1161" s="15">
        <v>1</v>
      </c>
    </row>
    <row r="1162" spans="1:5" x14ac:dyDescent="0.25">
      <c r="A1162" s="15" t="s">
        <v>53</v>
      </c>
      <c r="B1162" s="17">
        <f t="shared" si="21"/>
        <v>41774</v>
      </c>
      <c r="C1162" s="15">
        <v>2</v>
      </c>
      <c r="D1162" s="15" t="s">
        <v>507</v>
      </c>
      <c r="E1162" s="15">
        <v>1</v>
      </c>
    </row>
    <row r="1163" spans="1:5" x14ac:dyDescent="0.25">
      <c r="A1163" s="15" t="s">
        <v>53</v>
      </c>
      <c r="B1163" s="17">
        <f t="shared" si="21"/>
        <v>41774</v>
      </c>
      <c r="C1163" s="15">
        <v>1</v>
      </c>
      <c r="D1163" s="15" t="s">
        <v>414</v>
      </c>
      <c r="E1163" s="15">
        <v>4</v>
      </c>
    </row>
    <row r="1164" spans="1:5" x14ac:dyDescent="0.25">
      <c r="A1164" s="15" t="s">
        <v>53</v>
      </c>
      <c r="B1164" s="17">
        <f t="shared" si="21"/>
        <v>41774</v>
      </c>
      <c r="C1164" s="15">
        <v>2</v>
      </c>
      <c r="D1164" s="15" t="s">
        <v>414</v>
      </c>
      <c r="E1164" s="15">
        <v>5</v>
      </c>
    </row>
    <row r="1165" spans="1:5" x14ac:dyDescent="0.25">
      <c r="A1165" s="15" t="s">
        <v>53</v>
      </c>
      <c r="B1165" s="17">
        <f t="shared" si="21"/>
        <v>41774</v>
      </c>
      <c r="C1165" s="15">
        <v>1</v>
      </c>
      <c r="D1165" s="15" t="s">
        <v>382</v>
      </c>
      <c r="E1165" s="15">
        <v>6</v>
      </c>
    </row>
    <row r="1166" spans="1:5" x14ac:dyDescent="0.25">
      <c r="A1166" s="15" t="s">
        <v>53</v>
      </c>
      <c r="B1166" s="17">
        <f t="shared" si="21"/>
        <v>41774</v>
      </c>
      <c r="C1166" s="15">
        <v>2</v>
      </c>
      <c r="D1166" s="15" t="s">
        <v>382</v>
      </c>
      <c r="E1166" s="15">
        <v>2</v>
      </c>
    </row>
    <row r="1167" spans="1:5" x14ac:dyDescent="0.25">
      <c r="A1167" s="15" t="s">
        <v>53</v>
      </c>
      <c r="B1167" s="17">
        <f t="shared" si="21"/>
        <v>41774</v>
      </c>
      <c r="C1167" s="15">
        <v>2</v>
      </c>
      <c r="D1167" s="15" t="s">
        <v>82</v>
      </c>
      <c r="E1167" s="15">
        <v>1</v>
      </c>
    </row>
    <row r="1168" spans="1:5" x14ac:dyDescent="0.25">
      <c r="A1168" s="15" t="s">
        <v>53</v>
      </c>
      <c r="B1168" s="17">
        <f t="shared" si="21"/>
        <v>41774</v>
      </c>
      <c r="C1168" s="15">
        <v>1</v>
      </c>
      <c r="D1168" s="15" t="s">
        <v>83</v>
      </c>
      <c r="E1168" s="15">
        <v>1</v>
      </c>
    </row>
    <row r="1169" spans="1:5" x14ac:dyDescent="0.25">
      <c r="A1169" s="15" t="s">
        <v>53</v>
      </c>
      <c r="B1169" s="17">
        <f t="shared" si="21"/>
        <v>41774</v>
      </c>
      <c r="C1169" s="15">
        <v>2</v>
      </c>
      <c r="D1169" s="15" t="s">
        <v>499</v>
      </c>
      <c r="E1169" s="15">
        <v>1</v>
      </c>
    </row>
    <row r="1170" spans="1:5" x14ac:dyDescent="0.25">
      <c r="A1170" s="15" t="s">
        <v>53</v>
      </c>
      <c r="B1170" s="17">
        <f t="shared" si="21"/>
        <v>41774</v>
      </c>
      <c r="C1170" s="15">
        <v>1</v>
      </c>
      <c r="D1170" s="15" t="s">
        <v>82</v>
      </c>
      <c r="E1170" s="15">
        <v>1</v>
      </c>
    </row>
    <row r="1171" spans="1:5" x14ac:dyDescent="0.25">
      <c r="A1171" s="15" t="s">
        <v>53</v>
      </c>
      <c r="B1171" s="17">
        <f t="shared" si="21"/>
        <v>41774</v>
      </c>
      <c r="C1171" s="15">
        <v>2</v>
      </c>
      <c r="D1171" s="15" t="s">
        <v>419</v>
      </c>
      <c r="E1171" s="15">
        <v>1</v>
      </c>
    </row>
    <row r="1172" spans="1:5" x14ac:dyDescent="0.25">
      <c r="A1172" s="15" t="s">
        <v>53</v>
      </c>
      <c r="B1172" s="17">
        <f t="shared" si="21"/>
        <v>41774</v>
      </c>
      <c r="C1172" s="15">
        <v>1</v>
      </c>
      <c r="D1172" s="15" t="s">
        <v>384</v>
      </c>
      <c r="E1172" s="15">
        <v>2</v>
      </c>
    </row>
    <row r="1173" spans="1:5" x14ac:dyDescent="0.25">
      <c r="A1173" s="15" t="s">
        <v>53</v>
      </c>
      <c r="B1173" s="17">
        <f t="shared" si="21"/>
        <v>41774</v>
      </c>
      <c r="C1173" s="15">
        <v>2</v>
      </c>
      <c r="D1173" s="15" t="s">
        <v>384</v>
      </c>
      <c r="E1173" s="15">
        <v>4</v>
      </c>
    </row>
    <row r="1174" spans="1:5" x14ac:dyDescent="0.25">
      <c r="A1174" s="15" t="s">
        <v>53</v>
      </c>
      <c r="B1174" s="17">
        <f t="shared" si="21"/>
        <v>41774</v>
      </c>
      <c r="C1174" s="15">
        <v>2</v>
      </c>
      <c r="D1174" s="15" t="s">
        <v>508</v>
      </c>
      <c r="E1174" s="15">
        <v>2</v>
      </c>
    </row>
    <row r="1175" spans="1:5" x14ac:dyDescent="0.25">
      <c r="A1175" s="15" t="s">
        <v>53</v>
      </c>
      <c r="B1175" s="17">
        <f t="shared" si="21"/>
        <v>41774</v>
      </c>
      <c r="C1175" s="15">
        <v>1</v>
      </c>
      <c r="D1175" s="15" t="s">
        <v>329</v>
      </c>
      <c r="E1175" s="15">
        <v>3</v>
      </c>
    </row>
    <row r="1176" spans="1:5" x14ac:dyDescent="0.25">
      <c r="A1176" s="15" t="s">
        <v>53</v>
      </c>
      <c r="B1176" s="17">
        <f t="shared" ref="B1176:B1207" si="22">B1175</f>
        <v>41774</v>
      </c>
      <c r="C1176" s="15">
        <v>2</v>
      </c>
      <c r="D1176" s="15" t="s">
        <v>329</v>
      </c>
      <c r="E1176" s="15">
        <v>2</v>
      </c>
    </row>
    <row r="1177" spans="1:5" x14ac:dyDescent="0.25">
      <c r="A1177" s="15" t="s">
        <v>53</v>
      </c>
      <c r="B1177" s="17">
        <f t="shared" si="22"/>
        <v>41774</v>
      </c>
      <c r="C1177" s="15">
        <v>2</v>
      </c>
      <c r="D1177" s="15" t="s">
        <v>387</v>
      </c>
      <c r="E1177" s="15">
        <v>1</v>
      </c>
    </row>
    <row r="1178" spans="1:5" x14ac:dyDescent="0.25">
      <c r="A1178" s="15" t="s">
        <v>53</v>
      </c>
      <c r="B1178" s="17">
        <f t="shared" si="22"/>
        <v>41774</v>
      </c>
      <c r="C1178" s="15">
        <v>1</v>
      </c>
      <c r="D1178" s="15" t="s">
        <v>433</v>
      </c>
      <c r="E1178" s="15">
        <v>3</v>
      </c>
    </row>
    <row r="1179" spans="1:5" x14ac:dyDescent="0.25">
      <c r="A1179" s="15" t="s">
        <v>53</v>
      </c>
      <c r="B1179" s="17">
        <f t="shared" si="22"/>
        <v>41774</v>
      </c>
      <c r="C1179" s="15">
        <v>1</v>
      </c>
      <c r="D1179" s="15" t="s">
        <v>405</v>
      </c>
      <c r="E1179" s="15">
        <v>1</v>
      </c>
    </row>
    <row r="1180" spans="1:5" x14ac:dyDescent="0.25">
      <c r="A1180" s="15" t="s">
        <v>53</v>
      </c>
      <c r="B1180" s="17">
        <f t="shared" si="22"/>
        <v>41774</v>
      </c>
      <c r="C1180" s="15">
        <v>2</v>
      </c>
      <c r="D1180" s="15" t="s">
        <v>405</v>
      </c>
      <c r="E1180" s="15">
        <v>1</v>
      </c>
    </row>
    <row r="1181" spans="1:5" x14ac:dyDescent="0.25">
      <c r="A1181" s="15" t="s">
        <v>53</v>
      </c>
      <c r="B1181" s="17">
        <f t="shared" si="22"/>
        <v>41774</v>
      </c>
      <c r="C1181" s="15">
        <v>1</v>
      </c>
      <c r="D1181" s="15" t="s">
        <v>331</v>
      </c>
      <c r="E1181" s="15">
        <v>1</v>
      </c>
    </row>
    <row r="1182" spans="1:5" x14ac:dyDescent="0.25">
      <c r="A1182" s="15" t="s">
        <v>53</v>
      </c>
      <c r="B1182" s="17">
        <f t="shared" si="22"/>
        <v>41774</v>
      </c>
      <c r="C1182" s="15">
        <v>2</v>
      </c>
      <c r="D1182" s="15" t="s">
        <v>423</v>
      </c>
      <c r="E1182" s="15">
        <v>2</v>
      </c>
    </row>
    <row r="1183" spans="1:5" x14ac:dyDescent="0.25">
      <c r="A1183" s="15" t="s">
        <v>53</v>
      </c>
      <c r="B1183" s="17">
        <f t="shared" si="22"/>
        <v>41774</v>
      </c>
      <c r="C1183" s="15">
        <v>2</v>
      </c>
      <c r="D1183" s="15" t="s">
        <v>440</v>
      </c>
      <c r="E1183" s="15">
        <v>1</v>
      </c>
    </row>
    <row r="1184" spans="1:5" x14ac:dyDescent="0.25">
      <c r="A1184" s="15" t="s">
        <v>53</v>
      </c>
      <c r="B1184" s="17">
        <f t="shared" si="22"/>
        <v>41774</v>
      </c>
      <c r="C1184" s="15">
        <v>1</v>
      </c>
      <c r="D1184" s="15" t="s">
        <v>332</v>
      </c>
      <c r="E1184" s="15">
        <v>1</v>
      </c>
    </row>
    <row r="1185" spans="1:5" x14ac:dyDescent="0.25">
      <c r="A1185" s="15" t="s">
        <v>53</v>
      </c>
      <c r="B1185" s="17">
        <f t="shared" si="22"/>
        <v>41774</v>
      </c>
      <c r="C1185" s="15">
        <v>2</v>
      </c>
      <c r="D1185" s="15" t="s">
        <v>500</v>
      </c>
      <c r="E1185" s="15">
        <v>3</v>
      </c>
    </row>
    <row r="1186" spans="1:5" x14ac:dyDescent="0.25">
      <c r="A1186" s="15" t="s">
        <v>53</v>
      </c>
      <c r="B1186" s="17">
        <f t="shared" si="22"/>
        <v>41774</v>
      </c>
      <c r="C1186" s="15">
        <v>1</v>
      </c>
      <c r="D1186" s="15" t="s">
        <v>66</v>
      </c>
      <c r="E1186" s="15">
        <v>23</v>
      </c>
    </row>
    <row r="1187" spans="1:5" x14ac:dyDescent="0.25">
      <c r="A1187" s="15" t="s">
        <v>53</v>
      </c>
      <c r="B1187" s="17">
        <f t="shared" si="22"/>
        <v>41774</v>
      </c>
      <c r="C1187" s="15">
        <v>2</v>
      </c>
      <c r="D1187" s="15" t="s">
        <v>66</v>
      </c>
      <c r="E1187" s="15">
        <v>23</v>
      </c>
    </row>
    <row r="1188" spans="1:5" x14ac:dyDescent="0.25">
      <c r="A1188" s="15" t="s">
        <v>53</v>
      </c>
      <c r="B1188" s="17">
        <f t="shared" si="22"/>
        <v>41774</v>
      </c>
      <c r="C1188" s="15">
        <v>1</v>
      </c>
      <c r="D1188" s="15" t="s">
        <v>509</v>
      </c>
      <c r="E1188" s="15">
        <v>4</v>
      </c>
    </row>
    <row r="1189" spans="1:5" x14ac:dyDescent="0.25">
      <c r="A1189" s="15" t="s">
        <v>53</v>
      </c>
      <c r="B1189" s="17">
        <f t="shared" si="22"/>
        <v>41774</v>
      </c>
      <c r="C1189" s="15">
        <v>2</v>
      </c>
      <c r="D1189" s="15" t="s">
        <v>509</v>
      </c>
      <c r="E1189" s="15">
        <v>3</v>
      </c>
    </row>
    <row r="1190" spans="1:5" x14ac:dyDescent="0.25">
      <c r="A1190" s="15" t="s">
        <v>53</v>
      </c>
      <c r="B1190" s="17">
        <f t="shared" si="22"/>
        <v>41774</v>
      </c>
      <c r="C1190" s="15">
        <v>1</v>
      </c>
      <c r="D1190" s="15" t="s">
        <v>333</v>
      </c>
      <c r="E1190" s="15">
        <v>34</v>
      </c>
    </row>
    <row r="1191" spans="1:5" x14ac:dyDescent="0.25">
      <c r="A1191" s="15" t="s">
        <v>53</v>
      </c>
      <c r="B1191" s="17">
        <f t="shared" si="22"/>
        <v>41774</v>
      </c>
      <c r="C1191" s="15">
        <v>2</v>
      </c>
      <c r="D1191" s="15" t="s">
        <v>333</v>
      </c>
      <c r="E1191" s="15">
        <v>30</v>
      </c>
    </row>
    <row r="1192" spans="1:5" x14ac:dyDescent="0.25">
      <c r="A1192" s="15" t="s">
        <v>53</v>
      </c>
      <c r="B1192" s="17">
        <f t="shared" si="22"/>
        <v>41774</v>
      </c>
      <c r="C1192" s="15">
        <v>1</v>
      </c>
      <c r="D1192" s="15" t="s">
        <v>510</v>
      </c>
      <c r="E1192" s="15">
        <v>1</v>
      </c>
    </row>
    <row r="1193" spans="1:5" x14ac:dyDescent="0.25">
      <c r="A1193" s="15" t="s">
        <v>53</v>
      </c>
      <c r="B1193" s="17">
        <f t="shared" si="22"/>
        <v>41774</v>
      </c>
      <c r="C1193" s="15">
        <v>2</v>
      </c>
      <c r="D1193" s="15" t="s">
        <v>510</v>
      </c>
      <c r="E1193" s="15">
        <v>1</v>
      </c>
    </row>
    <row r="1194" spans="1:5" x14ac:dyDescent="0.25">
      <c r="A1194" s="15" t="s">
        <v>53</v>
      </c>
      <c r="B1194" s="17">
        <f t="shared" si="22"/>
        <v>41774</v>
      </c>
      <c r="C1194" s="15">
        <v>1</v>
      </c>
      <c r="D1194" s="15" t="s">
        <v>511</v>
      </c>
      <c r="E1194" s="15">
        <v>9</v>
      </c>
    </row>
    <row r="1195" spans="1:5" x14ac:dyDescent="0.25">
      <c r="A1195" s="15" t="s">
        <v>53</v>
      </c>
      <c r="B1195" s="17">
        <f t="shared" si="22"/>
        <v>41774</v>
      </c>
      <c r="C1195" s="15">
        <v>2</v>
      </c>
      <c r="D1195" s="15" t="s">
        <v>511</v>
      </c>
      <c r="E1195" s="15">
        <v>15</v>
      </c>
    </row>
    <row r="1196" spans="1:5" x14ac:dyDescent="0.25">
      <c r="A1196" s="15" t="s">
        <v>53</v>
      </c>
      <c r="B1196" s="17">
        <f t="shared" si="22"/>
        <v>41774</v>
      </c>
      <c r="C1196" s="15">
        <v>1</v>
      </c>
      <c r="D1196" s="15" t="s">
        <v>512</v>
      </c>
      <c r="E1196" s="15">
        <v>1</v>
      </c>
    </row>
    <row r="1197" spans="1:5" x14ac:dyDescent="0.25">
      <c r="A1197" s="15" t="s">
        <v>53</v>
      </c>
      <c r="B1197" s="17">
        <f t="shared" si="22"/>
        <v>41774</v>
      </c>
      <c r="C1197" s="15">
        <v>2</v>
      </c>
      <c r="D1197" s="15" t="s">
        <v>512</v>
      </c>
      <c r="E1197" s="15">
        <v>1</v>
      </c>
    </row>
    <row r="1198" spans="1:5" x14ac:dyDescent="0.25">
      <c r="A1198" s="15" t="s">
        <v>53</v>
      </c>
      <c r="B1198" s="17">
        <f t="shared" si="22"/>
        <v>41774</v>
      </c>
      <c r="C1198" s="15">
        <v>1</v>
      </c>
      <c r="D1198" s="15" t="s">
        <v>513</v>
      </c>
      <c r="E1198" s="15">
        <v>16</v>
      </c>
    </row>
    <row r="1199" spans="1:5" x14ac:dyDescent="0.25">
      <c r="A1199" s="15" t="s">
        <v>53</v>
      </c>
      <c r="B1199" s="17">
        <f t="shared" si="22"/>
        <v>41774</v>
      </c>
      <c r="C1199" s="15">
        <v>2</v>
      </c>
      <c r="D1199" s="15" t="s">
        <v>513</v>
      </c>
      <c r="E1199" s="15">
        <v>14</v>
      </c>
    </row>
    <row r="1200" spans="1:5" x14ac:dyDescent="0.25">
      <c r="A1200" s="15" t="s">
        <v>53</v>
      </c>
      <c r="B1200" s="17">
        <f t="shared" si="22"/>
        <v>41774</v>
      </c>
      <c r="C1200" s="15">
        <v>1</v>
      </c>
      <c r="D1200" s="15" t="s">
        <v>425</v>
      </c>
      <c r="E1200" s="15">
        <v>1</v>
      </c>
    </row>
    <row r="1201" spans="1:5" x14ac:dyDescent="0.25">
      <c r="A1201" s="15" t="s">
        <v>53</v>
      </c>
      <c r="B1201" s="17">
        <f t="shared" si="22"/>
        <v>41774</v>
      </c>
      <c r="C1201" s="15">
        <v>2</v>
      </c>
      <c r="D1201" s="15" t="s">
        <v>425</v>
      </c>
      <c r="E1201" s="15">
        <v>1</v>
      </c>
    </row>
    <row r="1202" spans="1:5" x14ac:dyDescent="0.25">
      <c r="A1202" s="15" t="s">
        <v>53</v>
      </c>
      <c r="B1202" s="17">
        <f t="shared" si="22"/>
        <v>41774</v>
      </c>
      <c r="C1202" s="15">
        <v>2</v>
      </c>
      <c r="D1202" s="15" t="s">
        <v>354</v>
      </c>
      <c r="E1202" s="15">
        <v>1</v>
      </c>
    </row>
    <row r="1203" spans="1:5" x14ac:dyDescent="0.25">
      <c r="A1203" s="15" t="s">
        <v>53</v>
      </c>
      <c r="B1203" s="17">
        <f t="shared" si="22"/>
        <v>41774</v>
      </c>
      <c r="C1203" s="15">
        <v>1</v>
      </c>
      <c r="D1203" s="15" t="s">
        <v>355</v>
      </c>
      <c r="E1203" s="15">
        <v>3</v>
      </c>
    </row>
    <row r="1204" spans="1:5" x14ac:dyDescent="0.25">
      <c r="A1204" s="15" t="s">
        <v>53</v>
      </c>
      <c r="B1204" s="17">
        <f t="shared" si="22"/>
        <v>41774</v>
      </c>
      <c r="C1204" s="15">
        <v>1</v>
      </c>
      <c r="D1204" s="15" t="s">
        <v>514</v>
      </c>
      <c r="E1204" s="15">
        <v>1</v>
      </c>
    </row>
    <row r="1205" spans="1:5" x14ac:dyDescent="0.25">
      <c r="A1205" s="15" t="s">
        <v>53</v>
      </c>
      <c r="B1205" s="17">
        <f t="shared" si="22"/>
        <v>41774</v>
      </c>
      <c r="C1205" s="15">
        <v>2</v>
      </c>
      <c r="D1205" s="15" t="s">
        <v>514</v>
      </c>
      <c r="E1205" s="15">
        <v>2</v>
      </c>
    </row>
    <row r="1206" spans="1:5" x14ac:dyDescent="0.25">
      <c r="A1206" s="15" t="s">
        <v>53</v>
      </c>
      <c r="B1206" s="17">
        <f t="shared" si="22"/>
        <v>41774</v>
      </c>
      <c r="C1206" s="15">
        <v>1</v>
      </c>
      <c r="D1206" s="15" t="s">
        <v>515</v>
      </c>
      <c r="E1206" s="15">
        <v>1</v>
      </c>
    </row>
    <row r="1207" spans="1:5" x14ac:dyDescent="0.25">
      <c r="A1207" s="15" t="s">
        <v>53</v>
      </c>
      <c r="B1207" s="17">
        <f t="shared" si="22"/>
        <v>41774</v>
      </c>
      <c r="C1207" s="15">
        <v>1</v>
      </c>
      <c r="D1207" s="15" t="s">
        <v>344</v>
      </c>
      <c r="E1207" s="15">
        <v>5</v>
      </c>
    </row>
    <row r="1208" spans="1:5" x14ac:dyDescent="0.25">
      <c r="A1208" s="15" t="s">
        <v>53</v>
      </c>
      <c r="B1208" s="17">
        <f t="shared" ref="B1208:B1213" si="23">B1207</f>
        <v>41774</v>
      </c>
      <c r="C1208" s="15">
        <v>2</v>
      </c>
      <c r="D1208" s="15" t="s">
        <v>344</v>
      </c>
      <c r="E1208" s="15">
        <v>2</v>
      </c>
    </row>
    <row r="1209" spans="1:5" x14ac:dyDescent="0.25">
      <c r="A1209" s="15" t="s">
        <v>53</v>
      </c>
      <c r="B1209" s="17">
        <f t="shared" si="23"/>
        <v>41774</v>
      </c>
      <c r="C1209" s="15">
        <v>1</v>
      </c>
      <c r="D1209" s="15" t="s">
        <v>361</v>
      </c>
      <c r="E1209" s="15">
        <v>9</v>
      </c>
    </row>
    <row r="1210" spans="1:5" x14ac:dyDescent="0.25">
      <c r="A1210" s="15" t="s">
        <v>53</v>
      </c>
      <c r="B1210" s="17">
        <f t="shared" si="23"/>
        <v>41774</v>
      </c>
      <c r="C1210" s="15">
        <v>2</v>
      </c>
      <c r="D1210" s="15" t="s">
        <v>361</v>
      </c>
      <c r="E1210" s="15">
        <v>8</v>
      </c>
    </row>
    <row r="1211" spans="1:5" x14ac:dyDescent="0.25">
      <c r="A1211" s="15" t="s">
        <v>53</v>
      </c>
      <c r="B1211" s="17">
        <f t="shared" si="23"/>
        <v>41774</v>
      </c>
      <c r="C1211" s="15">
        <v>1</v>
      </c>
      <c r="D1211" s="15" t="s">
        <v>374</v>
      </c>
      <c r="E1211" s="15">
        <v>1</v>
      </c>
    </row>
    <row r="1212" spans="1:5" x14ac:dyDescent="0.25">
      <c r="A1212" s="15" t="s">
        <v>53</v>
      </c>
      <c r="B1212" s="17">
        <f t="shared" si="23"/>
        <v>41774</v>
      </c>
      <c r="C1212" s="15">
        <v>2</v>
      </c>
      <c r="D1212" s="15" t="s">
        <v>374</v>
      </c>
      <c r="E1212" s="15">
        <v>1</v>
      </c>
    </row>
    <row r="1213" spans="1:5" x14ac:dyDescent="0.25">
      <c r="A1213" s="15" t="s">
        <v>53</v>
      </c>
      <c r="B1213" s="17">
        <f t="shared" si="23"/>
        <v>41774</v>
      </c>
      <c r="C1213" s="15">
        <v>2</v>
      </c>
      <c r="D1213" s="15" t="s">
        <v>459</v>
      </c>
      <c r="E1213" s="15">
        <v>1</v>
      </c>
    </row>
    <row r="1214" spans="1:5" x14ac:dyDescent="0.25">
      <c r="A1214" s="15" t="s">
        <v>56</v>
      </c>
      <c r="B1214" s="17">
        <v>41760</v>
      </c>
      <c r="C1214" s="15">
        <v>1</v>
      </c>
      <c r="D1214" s="15" t="s">
        <v>324</v>
      </c>
      <c r="E1214" s="15">
        <v>1</v>
      </c>
    </row>
    <row r="1215" spans="1:5" x14ac:dyDescent="0.25">
      <c r="A1215" s="15" t="s">
        <v>56</v>
      </c>
      <c r="B1215" s="17">
        <f t="shared" ref="B1215:B1246" si="24">B1214</f>
        <v>41760</v>
      </c>
      <c r="C1215" s="15">
        <v>2</v>
      </c>
      <c r="D1215" s="15" t="s">
        <v>516</v>
      </c>
      <c r="E1215" s="15">
        <v>2</v>
      </c>
    </row>
    <row r="1216" spans="1:5" x14ac:dyDescent="0.25">
      <c r="A1216" s="15" t="s">
        <v>56</v>
      </c>
      <c r="B1216" s="17">
        <f t="shared" si="24"/>
        <v>41760</v>
      </c>
      <c r="C1216" s="15">
        <v>1</v>
      </c>
      <c r="D1216" s="15" t="s">
        <v>448</v>
      </c>
      <c r="E1216" s="15">
        <v>1</v>
      </c>
    </row>
    <row r="1217" spans="1:5" x14ac:dyDescent="0.25">
      <c r="A1217" s="15" t="s">
        <v>56</v>
      </c>
      <c r="B1217" s="17">
        <f t="shared" si="24"/>
        <v>41760</v>
      </c>
      <c r="C1217" s="15">
        <v>1</v>
      </c>
      <c r="D1217" s="15" t="s">
        <v>336</v>
      </c>
      <c r="E1217" s="15">
        <v>1</v>
      </c>
    </row>
    <row r="1218" spans="1:5" x14ac:dyDescent="0.25">
      <c r="A1218" s="15" t="s">
        <v>56</v>
      </c>
      <c r="B1218" s="17">
        <f t="shared" si="24"/>
        <v>41760</v>
      </c>
      <c r="C1218" s="15">
        <v>1</v>
      </c>
      <c r="D1218" s="15" t="s">
        <v>326</v>
      </c>
      <c r="E1218" s="15">
        <v>1</v>
      </c>
    </row>
    <row r="1219" spans="1:5" x14ac:dyDescent="0.25">
      <c r="A1219" s="15" t="s">
        <v>56</v>
      </c>
      <c r="B1219" s="17">
        <f t="shared" si="24"/>
        <v>41760</v>
      </c>
      <c r="C1219" s="15">
        <v>2</v>
      </c>
      <c r="D1219" s="15" t="s">
        <v>326</v>
      </c>
      <c r="E1219" s="15">
        <v>7</v>
      </c>
    </row>
    <row r="1220" spans="1:5" x14ac:dyDescent="0.25">
      <c r="A1220" s="15" t="s">
        <v>56</v>
      </c>
      <c r="B1220" s="17">
        <f t="shared" si="24"/>
        <v>41760</v>
      </c>
      <c r="C1220" s="15">
        <v>1</v>
      </c>
      <c r="D1220" s="15" t="s">
        <v>337</v>
      </c>
      <c r="E1220" s="15">
        <v>1</v>
      </c>
    </row>
    <row r="1221" spans="1:5" x14ac:dyDescent="0.25">
      <c r="A1221" s="15" t="s">
        <v>56</v>
      </c>
      <c r="B1221" s="17">
        <f t="shared" si="24"/>
        <v>41760</v>
      </c>
      <c r="C1221" s="15">
        <v>1</v>
      </c>
      <c r="D1221" s="15" t="s">
        <v>517</v>
      </c>
      <c r="E1221" s="15">
        <v>1</v>
      </c>
    </row>
    <row r="1222" spans="1:5" x14ac:dyDescent="0.25">
      <c r="A1222" s="15" t="s">
        <v>56</v>
      </c>
      <c r="B1222" s="17">
        <f t="shared" si="24"/>
        <v>41760</v>
      </c>
      <c r="C1222" s="15">
        <v>1</v>
      </c>
      <c r="D1222" s="15" t="s">
        <v>518</v>
      </c>
      <c r="E1222" s="15">
        <v>3</v>
      </c>
    </row>
    <row r="1223" spans="1:5" x14ac:dyDescent="0.25">
      <c r="A1223" s="15" t="s">
        <v>56</v>
      </c>
      <c r="B1223" s="17">
        <f t="shared" si="24"/>
        <v>41760</v>
      </c>
      <c r="C1223" s="15">
        <v>1</v>
      </c>
      <c r="D1223" s="15" t="s">
        <v>383</v>
      </c>
      <c r="E1223" s="15">
        <v>2</v>
      </c>
    </row>
    <row r="1224" spans="1:5" x14ac:dyDescent="0.25">
      <c r="A1224" s="15" t="s">
        <v>56</v>
      </c>
      <c r="B1224" s="17">
        <f t="shared" si="24"/>
        <v>41760</v>
      </c>
      <c r="C1224" s="15">
        <v>1</v>
      </c>
      <c r="D1224" s="15" t="s">
        <v>519</v>
      </c>
      <c r="E1224" s="15">
        <v>2</v>
      </c>
    </row>
    <row r="1225" spans="1:5" x14ac:dyDescent="0.25">
      <c r="A1225" s="15" t="s">
        <v>56</v>
      </c>
      <c r="B1225" s="17">
        <f t="shared" si="24"/>
        <v>41760</v>
      </c>
      <c r="C1225" s="15">
        <v>2</v>
      </c>
      <c r="D1225" s="15" t="s">
        <v>83</v>
      </c>
      <c r="E1225" s="15">
        <v>2</v>
      </c>
    </row>
    <row r="1226" spans="1:5" x14ac:dyDescent="0.25">
      <c r="A1226" s="15" t="s">
        <v>56</v>
      </c>
      <c r="B1226" s="17">
        <f t="shared" si="24"/>
        <v>41760</v>
      </c>
      <c r="C1226" s="15">
        <v>1</v>
      </c>
      <c r="D1226" s="15" t="s">
        <v>419</v>
      </c>
      <c r="E1226" s="15">
        <v>1</v>
      </c>
    </row>
    <row r="1227" spans="1:5" x14ac:dyDescent="0.25">
      <c r="A1227" s="15" t="s">
        <v>56</v>
      </c>
      <c r="B1227" s="17">
        <f t="shared" si="24"/>
        <v>41760</v>
      </c>
      <c r="C1227" s="15">
        <v>1</v>
      </c>
      <c r="D1227" s="15" t="s">
        <v>430</v>
      </c>
      <c r="E1227" s="15">
        <v>1</v>
      </c>
    </row>
    <row r="1228" spans="1:5" x14ac:dyDescent="0.25">
      <c r="A1228" s="15" t="s">
        <v>56</v>
      </c>
      <c r="B1228" s="17">
        <f t="shared" si="24"/>
        <v>41760</v>
      </c>
      <c r="C1228" s="15">
        <v>2</v>
      </c>
      <c r="D1228" s="15" t="s">
        <v>430</v>
      </c>
      <c r="E1228" s="15">
        <v>2</v>
      </c>
    </row>
    <row r="1229" spans="1:5" x14ac:dyDescent="0.25">
      <c r="A1229" s="15" t="s">
        <v>56</v>
      </c>
      <c r="B1229" s="17">
        <f t="shared" si="24"/>
        <v>41760</v>
      </c>
      <c r="C1229" s="15">
        <v>1</v>
      </c>
      <c r="D1229" s="15" t="s">
        <v>462</v>
      </c>
      <c r="E1229" s="15">
        <v>1</v>
      </c>
    </row>
    <row r="1230" spans="1:5" x14ac:dyDescent="0.25">
      <c r="A1230" s="15" t="s">
        <v>56</v>
      </c>
      <c r="B1230" s="17">
        <f t="shared" si="24"/>
        <v>41760</v>
      </c>
      <c r="C1230" s="15">
        <v>2</v>
      </c>
      <c r="D1230" s="15" t="s">
        <v>461</v>
      </c>
      <c r="E1230" s="15">
        <v>1</v>
      </c>
    </row>
    <row r="1231" spans="1:5" x14ac:dyDescent="0.25">
      <c r="A1231" s="15" t="s">
        <v>56</v>
      </c>
      <c r="B1231" s="17">
        <f t="shared" si="24"/>
        <v>41760</v>
      </c>
      <c r="C1231" s="15">
        <v>2</v>
      </c>
      <c r="D1231" s="15" t="s">
        <v>389</v>
      </c>
      <c r="E1231" s="15">
        <v>1</v>
      </c>
    </row>
    <row r="1232" spans="1:5" x14ac:dyDescent="0.25">
      <c r="A1232" s="15" t="s">
        <v>56</v>
      </c>
      <c r="B1232" s="17">
        <f t="shared" si="24"/>
        <v>41760</v>
      </c>
      <c r="C1232" s="15">
        <v>2</v>
      </c>
      <c r="D1232" s="15" t="s">
        <v>499</v>
      </c>
      <c r="E1232" s="15">
        <v>2</v>
      </c>
    </row>
    <row r="1233" spans="1:5" x14ac:dyDescent="0.25">
      <c r="A1233" s="15" t="s">
        <v>56</v>
      </c>
      <c r="B1233" s="17">
        <f t="shared" si="24"/>
        <v>41760</v>
      </c>
      <c r="C1233" s="15">
        <v>2</v>
      </c>
      <c r="D1233" s="15" t="s">
        <v>328</v>
      </c>
      <c r="E1233" s="15">
        <v>1</v>
      </c>
    </row>
    <row r="1234" spans="1:5" x14ac:dyDescent="0.25">
      <c r="A1234" s="15" t="s">
        <v>56</v>
      </c>
      <c r="B1234" s="17">
        <f t="shared" si="24"/>
        <v>41760</v>
      </c>
      <c r="C1234" s="15">
        <v>2</v>
      </c>
      <c r="D1234" s="15" t="s">
        <v>376</v>
      </c>
      <c r="E1234" s="15">
        <v>1</v>
      </c>
    </row>
    <row r="1235" spans="1:5" x14ac:dyDescent="0.25">
      <c r="A1235" s="15" t="s">
        <v>56</v>
      </c>
      <c r="B1235" s="17">
        <f t="shared" si="24"/>
        <v>41760</v>
      </c>
      <c r="C1235" s="15">
        <v>1</v>
      </c>
      <c r="D1235" s="15" t="s">
        <v>384</v>
      </c>
      <c r="E1235" s="15">
        <v>42</v>
      </c>
    </row>
    <row r="1236" spans="1:5" x14ac:dyDescent="0.25">
      <c r="A1236" s="15" t="s">
        <v>56</v>
      </c>
      <c r="B1236" s="17">
        <f t="shared" si="24"/>
        <v>41760</v>
      </c>
      <c r="C1236" s="15">
        <v>2</v>
      </c>
      <c r="D1236" s="15" t="s">
        <v>384</v>
      </c>
      <c r="E1236" s="15">
        <v>33</v>
      </c>
    </row>
    <row r="1237" spans="1:5" x14ac:dyDescent="0.25">
      <c r="A1237" s="15" t="s">
        <v>56</v>
      </c>
      <c r="B1237" s="17">
        <f t="shared" si="24"/>
        <v>41760</v>
      </c>
      <c r="C1237" s="15">
        <v>1</v>
      </c>
      <c r="D1237" s="15" t="s">
        <v>403</v>
      </c>
      <c r="E1237" s="15">
        <v>1</v>
      </c>
    </row>
    <row r="1238" spans="1:5" x14ac:dyDescent="0.25">
      <c r="A1238" s="15" t="s">
        <v>56</v>
      </c>
      <c r="B1238" s="17">
        <f t="shared" si="24"/>
        <v>41760</v>
      </c>
      <c r="C1238" s="15">
        <v>2</v>
      </c>
      <c r="D1238" s="15" t="s">
        <v>403</v>
      </c>
      <c r="E1238" s="15">
        <v>4</v>
      </c>
    </row>
    <row r="1239" spans="1:5" x14ac:dyDescent="0.25">
      <c r="A1239" s="15" t="s">
        <v>56</v>
      </c>
      <c r="B1239" s="17">
        <f t="shared" si="24"/>
        <v>41760</v>
      </c>
      <c r="C1239" s="15">
        <v>1</v>
      </c>
      <c r="D1239" s="15" t="s">
        <v>451</v>
      </c>
      <c r="E1239" s="15">
        <v>1</v>
      </c>
    </row>
    <row r="1240" spans="1:5" x14ac:dyDescent="0.25">
      <c r="A1240" s="15" t="s">
        <v>56</v>
      </c>
      <c r="B1240" s="17">
        <f t="shared" si="24"/>
        <v>41760</v>
      </c>
      <c r="C1240" s="15">
        <v>1</v>
      </c>
      <c r="D1240" s="15" t="s">
        <v>464</v>
      </c>
      <c r="E1240" s="15">
        <v>1</v>
      </c>
    </row>
    <row r="1241" spans="1:5" x14ac:dyDescent="0.25">
      <c r="A1241" s="15" t="s">
        <v>56</v>
      </c>
      <c r="B1241" s="17">
        <f t="shared" si="24"/>
        <v>41760</v>
      </c>
      <c r="C1241" s="15">
        <v>1</v>
      </c>
      <c r="D1241" s="15" t="s">
        <v>329</v>
      </c>
      <c r="E1241" s="15">
        <v>1</v>
      </c>
    </row>
    <row r="1242" spans="1:5" x14ac:dyDescent="0.25">
      <c r="A1242" s="15" t="s">
        <v>56</v>
      </c>
      <c r="B1242" s="17">
        <f t="shared" si="24"/>
        <v>41760</v>
      </c>
      <c r="C1242" s="15">
        <v>2</v>
      </c>
      <c r="D1242" s="15" t="s">
        <v>329</v>
      </c>
      <c r="E1242" s="15">
        <v>2</v>
      </c>
    </row>
    <row r="1243" spans="1:5" x14ac:dyDescent="0.25">
      <c r="A1243" s="15" t="s">
        <v>56</v>
      </c>
      <c r="B1243" s="17">
        <f t="shared" si="24"/>
        <v>41760</v>
      </c>
      <c r="C1243" s="15">
        <v>1</v>
      </c>
      <c r="D1243" s="15" t="s">
        <v>66</v>
      </c>
      <c r="E1243" s="15">
        <v>2</v>
      </c>
    </row>
    <row r="1244" spans="1:5" x14ac:dyDescent="0.25">
      <c r="A1244" s="15" t="s">
        <v>56</v>
      </c>
      <c r="B1244" s="17">
        <f t="shared" si="24"/>
        <v>41760</v>
      </c>
      <c r="C1244" s="15">
        <v>2</v>
      </c>
      <c r="D1244" s="15" t="s">
        <v>66</v>
      </c>
      <c r="E1244" s="15">
        <v>1</v>
      </c>
    </row>
    <row r="1245" spans="1:5" x14ac:dyDescent="0.25">
      <c r="A1245" s="15" t="s">
        <v>56</v>
      </c>
      <c r="B1245" s="17">
        <f t="shared" si="24"/>
        <v>41760</v>
      </c>
      <c r="C1245" s="15">
        <v>1</v>
      </c>
      <c r="D1245" s="15" t="s">
        <v>332</v>
      </c>
      <c r="E1245" s="15">
        <v>5</v>
      </c>
    </row>
    <row r="1246" spans="1:5" x14ac:dyDescent="0.25">
      <c r="A1246" s="15" t="s">
        <v>56</v>
      </c>
      <c r="B1246" s="17">
        <f t="shared" si="24"/>
        <v>41760</v>
      </c>
      <c r="C1246" s="15">
        <v>2</v>
      </c>
      <c r="D1246" s="15" t="s">
        <v>332</v>
      </c>
      <c r="E1246" s="15">
        <v>11</v>
      </c>
    </row>
    <row r="1247" spans="1:5" x14ac:dyDescent="0.25">
      <c r="A1247" s="15" t="s">
        <v>56</v>
      </c>
      <c r="B1247" s="17">
        <f t="shared" ref="B1247:B1265" si="25">B1246</f>
        <v>41760</v>
      </c>
      <c r="C1247" s="15">
        <v>1</v>
      </c>
      <c r="D1247" s="15" t="s">
        <v>452</v>
      </c>
      <c r="E1247" s="15">
        <v>2</v>
      </c>
    </row>
    <row r="1248" spans="1:5" x14ac:dyDescent="0.25">
      <c r="A1248" s="15" t="s">
        <v>56</v>
      </c>
      <c r="B1248" s="17">
        <f t="shared" si="25"/>
        <v>41760</v>
      </c>
      <c r="C1248" s="15">
        <v>1</v>
      </c>
      <c r="D1248" s="15" t="s">
        <v>423</v>
      </c>
      <c r="E1248" s="15">
        <v>2</v>
      </c>
    </row>
    <row r="1249" spans="1:5" x14ac:dyDescent="0.25">
      <c r="A1249" s="15" t="s">
        <v>56</v>
      </c>
      <c r="B1249" s="17">
        <f t="shared" si="25"/>
        <v>41760</v>
      </c>
      <c r="C1249" s="15">
        <v>2</v>
      </c>
      <c r="D1249" s="15" t="s">
        <v>423</v>
      </c>
      <c r="E1249" s="15">
        <v>2</v>
      </c>
    </row>
    <row r="1250" spans="1:5" x14ac:dyDescent="0.25">
      <c r="A1250" s="15" t="s">
        <v>56</v>
      </c>
      <c r="B1250" s="17">
        <f t="shared" si="25"/>
        <v>41760</v>
      </c>
      <c r="C1250" s="15">
        <v>1</v>
      </c>
      <c r="D1250" s="15" t="s">
        <v>351</v>
      </c>
      <c r="E1250" s="15">
        <v>2</v>
      </c>
    </row>
    <row r="1251" spans="1:5" x14ac:dyDescent="0.25">
      <c r="A1251" s="15" t="s">
        <v>56</v>
      </c>
      <c r="B1251" s="17">
        <f t="shared" si="25"/>
        <v>41760</v>
      </c>
      <c r="C1251" s="15">
        <v>2</v>
      </c>
      <c r="D1251" s="15" t="s">
        <v>351</v>
      </c>
      <c r="E1251" s="15">
        <v>10</v>
      </c>
    </row>
    <row r="1252" spans="1:5" x14ac:dyDescent="0.25">
      <c r="A1252" s="15" t="s">
        <v>56</v>
      </c>
      <c r="B1252" s="17">
        <f t="shared" si="25"/>
        <v>41760</v>
      </c>
      <c r="C1252" s="15">
        <v>1</v>
      </c>
      <c r="D1252" s="15" t="s">
        <v>433</v>
      </c>
      <c r="E1252" s="15">
        <v>21</v>
      </c>
    </row>
    <row r="1253" spans="1:5" x14ac:dyDescent="0.25">
      <c r="A1253" s="15" t="s">
        <v>56</v>
      </c>
      <c r="B1253" s="17">
        <f t="shared" si="25"/>
        <v>41760</v>
      </c>
      <c r="C1253" s="15">
        <v>2</v>
      </c>
      <c r="D1253" s="15" t="s">
        <v>433</v>
      </c>
      <c r="E1253" s="15">
        <v>35</v>
      </c>
    </row>
    <row r="1254" spans="1:5" x14ac:dyDescent="0.25">
      <c r="A1254" s="15" t="s">
        <v>56</v>
      </c>
      <c r="B1254" s="17">
        <f t="shared" si="25"/>
        <v>41760</v>
      </c>
      <c r="C1254" s="15">
        <v>2</v>
      </c>
      <c r="D1254" s="15" t="s">
        <v>352</v>
      </c>
      <c r="E1254" s="15">
        <v>1</v>
      </c>
    </row>
    <row r="1255" spans="1:5" x14ac:dyDescent="0.25">
      <c r="A1255" s="15" t="s">
        <v>56</v>
      </c>
      <c r="B1255" s="17">
        <f t="shared" si="25"/>
        <v>41760</v>
      </c>
      <c r="C1255" s="15">
        <v>2</v>
      </c>
      <c r="D1255" s="15" t="s">
        <v>405</v>
      </c>
      <c r="E1255" s="15">
        <v>1</v>
      </c>
    </row>
    <row r="1256" spans="1:5" x14ac:dyDescent="0.25">
      <c r="A1256" s="15" t="s">
        <v>56</v>
      </c>
      <c r="B1256" s="17">
        <f t="shared" si="25"/>
        <v>41760</v>
      </c>
      <c r="C1256" s="15">
        <v>1</v>
      </c>
      <c r="D1256" s="15" t="s">
        <v>333</v>
      </c>
      <c r="E1256" s="15">
        <v>44</v>
      </c>
    </row>
    <row r="1257" spans="1:5" x14ac:dyDescent="0.25">
      <c r="A1257" s="15" t="s">
        <v>56</v>
      </c>
      <c r="B1257" s="17">
        <f t="shared" si="25"/>
        <v>41760</v>
      </c>
      <c r="C1257" s="15">
        <v>2</v>
      </c>
      <c r="D1257" s="15" t="s">
        <v>333</v>
      </c>
      <c r="E1257" s="15">
        <v>21</v>
      </c>
    </row>
    <row r="1258" spans="1:5" x14ac:dyDescent="0.25">
      <c r="A1258" s="15" t="s">
        <v>56</v>
      </c>
      <c r="B1258" s="17">
        <f t="shared" si="25"/>
        <v>41760</v>
      </c>
      <c r="C1258" s="15">
        <v>1</v>
      </c>
      <c r="D1258" s="15" t="s">
        <v>445</v>
      </c>
      <c r="E1258" s="15">
        <v>2</v>
      </c>
    </row>
    <row r="1259" spans="1:5" x14ac:dyDescent="0.25">
      <c r="A1259" s="15" t="s">
        <v>56</v>
      </c>
      <c r="B1259" s="17">
        <f t="shared" si="25"/>
        <v>41760</v>
      </c>
      <c r="C1259" s="15">
        <v>1</v>
      </c>
      <c r="D1259" s="15" t="s">
        <v>361</v>
      </c>
      <c r="E1259" s="15">
        <v>1</v>
      </c>
    </row>
    <row r="1260" spans="1:5" x14ac:dyDescent="0.25">
      <c r="A1260" s="15" t="s">
        <v>56</v>
      </c>
      <c r="B1260" s="17">
        <f t="shared" si="25"/>
        <v>41760</v>
      </c>
      <c r="C1260" s="15">
        <v>2</v>
      </c>
      <c r="D1260" s="15" t="s">
        <v>361</v>
      </c>
      <c r="E1260" s="15">
        <v>1</v>
      </c>
    </row>
    <row r="1261" spans="1:5" x14ac:dyDescent="0.25">
      <c r="A1261" s="15" t="s">
        <v>56</v>
      </c>
      <c r="B1261" s="17">
        <f t="shared" si="25"/>
        <v>41760</v>
      </c>
      <c r="C1261" s="15">
        <v>1</v>
      </c>
      <c r="D1261" s="15" t="s">
        <v>446</v>
      </c>
      <c r="E1261" s="15">
        <v>4</v>
      </c>
    </row>
    <row r="1262" spans="1:5" x14ac:dyDescent="0.25">
      <c r="A1262" s="15" t="s">
        <v>56</v>
      </c>
      <c r="B1262" s="17">
        <f t="shared" si="25"/>
        <v>41760</v>
      </c>
      <c r="C1262" s="15">
        <v>2</v>
      </c>
      <c r="D1262" s="15" t="s">
        <v>446</v>
      </c>
      <c r="E1262" s="15">
        <v>4</v>
      </c>
    </row>
    <row r="1263" spans="1:5" x14ac:dyDescent="0.25">
      <c r="A1263" s="15" t="s">
        <v>56</v>
      </c>
      <c r="B1263" s="17">
        <f t="shared" si="25"/>
        <v>41760</v>
      </c>
      <c r="C1263" s="15">
        <v>1</v>
      </c>
      <c r="D1263" s="15" t="s">
        <v>510</v>
      </c>
      <c r="E1263" s="15">
        <v>1</v>
      </c>
    </row>
    <row r="1264" spans="1:5" x14ac:dyDescent="0.25">
      <c r="A1264" s="15" t="s">
        <v>56</v>
      </c>
      <c r="B1264" s="17">
        <f t="shared" si="25"/>
        <v>41760</v>
      </c>
      <c r="C1264" s="15">
        <v>2</v>
      </c>
      <c r="D1264" s="15" t="s">
        <v>122</v>
      </c>
      <c r="E1264" s="15">
        <v>1</v>
      </c>
    </row>
    <row r="1265" spans="1:5" x14ac:dyDescent="0.25">
      <c r="A1265" s="15" t="s">
        <v>56</v>
      </c>
      <c r="B1265" s="17">
        <f t="shared" si="25"/>
        <v>41760</v>
      </c>
      <c r="C1265" s="15">
        <v>2</v>
      </c>
      <c r="D1265" s="15" t="s">
        <v>447</v>
      </c>
      <c r="E1265" s="15">
        <v>2</v>
      </c>
    </row>
    <row r="1266" spans="1:5" x14ac:dyDescent="0.25">
      <c r="A1266" s="15" t="s">
        <v>56</v>
      </c>
      <c r="B1266" s="17">
        <v>41921</v>
      </c>
      <c r="C1266" s="15">
        <v>2</v>
      </c>
      <c r="D1266" s="15" t="s">
        <v>97</v>
      </c>
      <c r="E1266" s="15">
        <v>3</v>
      </c>
    </row>
    <row r="1267" spans="1:5" x14ac:dyDescent="0.25">
      <c r="A1267" s="15" t="s">
        <v>56</v>
      </c>
      <c r="B1267" s="17">
        <f t="shared" ref="B1267:B1298" si="26">B1266</f>
        <v>41921</v>
      </c>
      <c r="C1267" s="15">
        <v>1</v>
      </c>
      <c r="D1267" s="15" t="s">
        <v>365</v>
      </c>
      <c r="E1267" s="15">
        <v>3</v>
      </c>
    </row>
    <row r="1268" spans="1:5" x14ac:dyDescent="0.25">
      <c r="A1268" s="15" t="s">
        <v>56</v>
      </c>
      <c r="B1268" s="17">
        <f t="shared" si="26"/>
        <v>41921</v>
      </c>
      <c r="C1268" s="15">
        <v>2</v>
      </c>
      <c r="D1268" s="15" t="s">
        <v>337</v>
      </c>
      <c r="E1268" s="15">
        <v>1</v>
      </c>
    </row>
    <row r="1269" spans="1:5" x14ac:dyDescent="0.25">
      <c r="A1269" s="15" t="s">
        <v>56</v>
      </c>
      <c r="B1269" s="17">
        <f t="shared" si="26"/>
        <v>41921</v>
      </c>
      <c r="C1269" s="15">
        <v>1</v>
      </c>
      <c r="D1269" s="15" t="s">
        <v>325</v>
      </c>
      <c r="E1269" s="15">
        <v>1</v>
      </c>
    </row>
    <row r="1270" spans="1:5" x14ac:dyDescent="0.25">
      <c r="A1270" s="15" t="s">
        <v>56</v>
      </c>
      <c r="B1270" s="17">
        <f t="shared" si="26"/>
        <v>41921</v>
      </c>
      <c r="C1270" s="15">
        <v>2</v>
      </c>
      <c r="D1270" s="15" t="s">
        <v>325</v>
      </c>
      <c r="E1270" s="15">
        <v>1</v>
      </c>
    </row>
    <row r="1271" spans="1:5" x14ac:dyDescent="0.25">
      <c r="A1271" s="15" t="s">
        <v>56</v>
      </c>
      <c r="B1271" s="17">
        <f t="shared" si="26"/>
        <v>41921</v>
      </c>
      <c r="C1271" s="15">
        <v>1</v>
      </c>
      <c r="D1271" s="15" t="s">
        <v>449</v>
      </c>
      <c r="E1271" s="15">
        <v>1</v>
      </c>
    </row>
    <row r="1272" spans="1:5" x14ac:dyDescent="0.25">
      <c r="A1272" s="15" t="s">
        <v>56</v>
      </c>
      <c r="B1272" s="17">
        <f t="shared" si="26"/>
        <v>41921</v>
      </c>
      <c r="C1272" s="15">
        <v>2</v>
      </c>
      <c r="D1272" s="15" t="s">
        <v>412</v>
      </c>
      <c r="E1272" s="15">
        <v>1</v>
      </c>
    </row>
    <row r="1273" spans="1:5" x14ac:dyDescent="0.25">
      <c r="A1273" s="15" t="s">
        <v>56</v>
      </c>
      <c r="B1273" s="17">
        <f t="shared" si="26"/>
        <v>41921</v>
      </c>
      <c r="C1273" s="15">
        <v>1</v>
      </c>
      <c r="D1273" s="15" t="s">
        <v>520</v>
      </c>
      <c r="E1273" s="15">
        <v>1</v>
      </c>
    </row>
    <row r="1274" spans="1:5" x14ac:dyDescent="0.25">
      <c r="A1274" s="15" t="s">
        <v>56</v>
      </c>
      <c r="B1274" s="17">
        <f t="shared" si="26"/>
        <v>41921</v>
      </c>
      <c r="C1274" s="15">
        <v>1</v>
      </c>
      <c r="D1274" s="15" t="s">
        <v>521</v>
      </c>
      <c r="E1274" s="15">
        <v>1</v>
      </c>
    </row>
    <row r="1275" spans="1:5" x14ac:dyDescent="0.25">
      <c r="A1275" s="15" t="s">
        <v>56</v>
      </c>
      <c r="B1275" s="17">
        <f t="shared" si="26"/>
        <v>41921</v>
      </c>
      <c r="C1275" s="15">
        <v>2</v>
      </c>
      <c r="D1275" s="15" t="s">
        <v>521</v>
      </c>
      <c r="E1275" s="15">
        <v>1</v>
      </c>
    </row>
    <row r="1276" spans="1:5" x14ac:dyDescent="0.25">
      <c r="A1276" s="15" t="s">
        <v>56</v>
      </c>
      <c r="B1276" s="17">
        <f t="shared" si="26"/>
        <v>41921</v>
      </c>
      <c r="C1276" s="15">
        <v>1</v>
      </c>
      <c r="D1276" s="15" t="s">
        <v>429</v>
      </c>
      <c r="E1276" s="15">
        <v>2</v>
      </c>
    </row>
    <row r="1277" spans="1:5" x14ac:dyDescent="0.25">
      <c r="A1277" s="15" t="s">
        <v>56</v>
      </c>
      <c r="B1277" s="17">
        <f t="shared" si="26"/>
        <v>41921</v>
      </c>
      <c r="C1277" s="15">
        <v>2</v>
      </c>
      <c r="D1277" s="15" t="s">
        <v>429</v>
      </c>
      <c r="E1277" s="15">
        <v>2</v>
      </c>
    </row>
    <row r="1278" spans="1:5" x14ac:dyDescent="0.25">
      <c r="A1278" s="15" t="s">
        <v>56</v>
      </c>
      <c r="B1278" s="17">
        <f t="shared" si="26"/>
        <v>41921</v>
      </c>
      <c r="C1278" s="15">
        <v>1</v>
      </c>
      <c r="D1278" s="15" t="s">
        <v>376</v>
      </c>
      <c r="E1278" s="15">
        <v>5</v>
      </c>
    </row>
    <row r="1279" spans="1:5" x14ac:dyDescent="0.25">
      <c r="A1279" s="15" t="s">
        <v>56</v>
      </c>
      <c r="B1279" s="17">
        <f t="shared" si="26"/>
        <v>41921</v>
      </c>
      <c r="C1279" s="15">
        <v>2</v>
      </c>
      <c r="D1279" s="15" t="s">
        <v>376</v>
      </c>
      <c r="E1279" s="15">
        <v>12</v>
      </c>
    </row>
    <row r="1280" spans="1:5" x14ac:dyDescent="0.25">
      <c r="A1280" s="15" t="s">
        <v>56</v>
      </c>
      <c r="B1280" s="17">
        <f t="shared" si="26"/>
        <v>41921</v>
      </c>
      <c r="C1280" s="15">
        <v>1</v>
      </c>
      <c r="D1280" s="15" t="s">
        <v>339</v>
      </c>
      <c r="E1280" s="15">
        <v>2</v>
      </c>
    </row>
    <row r="1281" spans="1:5" x14ac:dyDescent="0.25">
      <c r="A1281" s="15" t="s">
        <v>56</v>
      </c>
      <c r="B1281" s="17">
        <f t="shared" si="26"/>
        <v>41921</v>
      </c>
      <c r="C1281" s="15">
        <v>1</v>
      </c>
      <c r="D1281" s="15" t="s">
        <v>389</v>
      </c>
      <c r="E1281" s="15">
        <v>1</v>
      </c>
    </row>
    <row r="1282" spans="1:5" x14ac:dyDescent="0.25">
      <c r="A1282" s="15" t="s">
        <v>56</v>
      </c>
      <c r="B1282" s="17">
        <f t="shared" si="26"/>
        <v>41921</v>
      </c>
      <c r="C1282" s="15">
        <v>2</v>
      </c>
      <c r="D1282" s="15" t="s">
        <v>389</v>
      </c>
      <c r="E1282" s="15">
        <v>5</v>
      </c>
    </row>
    <row r="1283" spans="1:5" x14ac:dyDescent="0.25">
      <c r="A1283" s="15" t="s">
        <v>56</v>
      </c>
      <c r="B1283" s="17">
        <f t="shared" si="26"/>
        <v>41921</v>
      </c>
      <c r="C1283" s="15">
        <v>1</v>
      </c>
      <c r="D1283" s="15" t="s">
        <v>381</v>
      </c>
      <c r="E1283" s="15">
        <v>3</v>
      </c>
    </row>
    <row r="1284" spans="1:5" x14ac:dyDescent="0.25">
      <c r="A1284" s="15" t="s">
        <v>56</v>
      </c>
      <c r="B1284" s="17">
        <f t="shared" si="26"/>
        <v>41921</v>
      </c>
      <c r="C1284" s="15">
        <v>1</v>
      </c>
      <c r="D1284" s="15" t="s">
        <v>458</v>
      </c>
      <c r="E1284" s="15">
        <v>2</v>
      </c>
    </row>
    <row r="1285" spans="1:5" x14ac:dyDescent="0.25">
      <c r="A1285" s="15" t="s">
        <v>56</v>
      </c>
      <c r="B1285" s="17">
        <f t="shared" si="26"/>
        <v>41921</v>
      </c>
      <c r="C1285" s="15">
        <v>1</v>
      </c>
      <c r="D1285" s="15" t="s">
        <v>82</v>
      </c>
      <c r="E1285" s="15">
        <v>1</v>
      </c>
    </row>
    <row r="1286" spans="1:5" x14ac:dyDescent="0.25">
      <c r="A1286" s="15" t="s">
        <v>56</v>
      </c>
      <c r="B1286" s="17">
        <f t="shared" si="26"/>
        <v>41921</v>
      </c>
      <c r="C1286" s="15">
        <v>2</v>
      </c>
      <c r="D1286" s="15" t="s">
        <v>368</v>
      </c>
      <c r="E1286" s="15">
        <v>2</v>
      </c>
    </row>
    <row r="1287" spans="1:5" x14ac:dyDescent="0.25">
      <c r="A1287" s="15" t="s">
        <v>56</v>
      </c>
      <c r="B1287" s="17">
        <f t="shared" si="26"/>
        <v>41921</v>
      </c>
      <c r="C1287" s="15">
        <v>1</v>
      </c>
      <c r="D1287" s="15" t="s">
        <v>83</v>
      </c>
      <c r="E1287" s="15">
        <v>39</v>
      </c>
    </row>
    <row r="1288" spans="1:5" x14ac:dyDescent="0.25">
      <c r="A1288" s="15" t="s">
        <v>56</v>
      </c>
      <c r="B1288" s="17">
        <f t="shared" si="26"/>
        <v>41921</v>
      </c>
      <c r="C1288" s="15">
        <v>2</v>
      </c>
      <c r="D1288" s="15" t="s">
        <v>83</v>
      </c>
      <c r="E1288" s="15">
        <v>30</v>
      </c>
    </row>
    <row r="1289" spans="1:5" x14ac:dyDescent="0.25">
      <c r="A1289" s="15" t="s">
        <v>56</v>
      </c>
      <c r="B1289" s="17">
        <f t="shared" si="26"/>
        <v>41921</v>
      </c>
      <c r="C1289" s="15">
        <v>1</v>
      </c>
      <c r="D1289" s="15" t="s">
        <v>430</v>
      </c>
      <c r="E1289" s="15">
        <v>20</v>
      </c>
    </row>
    <row r="1290" spans="1:5" x14ac:dyDescent="0.25">
      <c r="A1290" s="15" t="s">
        <v>56</v>
      </c>
      <c r="B1290" s="17">
        <f t="shared" si="26"/>
        <v>41921</v>
      </c>
      <c r="C1290" s="15">
        <v>2</v>
      </c>
      <c r="D1290" s="15" t="s">
        <v>430</v>
      </c>
      <c r="E1290" s="15">
        <v>11</v>
      </c>
    </row>
    <row r="1291" spans="1:5" x14ac:dyDescent="0.25">
      <c r="A1291" s="15" t="s">
        <v>56</v>
      </c>
      <c r="B1291" s="17">
        <f t="shared" si="26"/>
        <v>41921</v>
      </c>
      <c r="C1291" s="15">
        <v>1</v>
      </c>
      <c r="D1291" s="15" t="s">
        <v>431</v>
      </c>
      <c r="E1291" s="15">
        <v>3</v>
      </c>
    </row>
    <row r="1292" spans="1:5" x14ac:dyDescent="0.25">
      <c r="A1292" s="15" t="s">
        <v>56</v>
      </c>
      <c r="B1292" s="17">
        <f t="shared" si="26"/>
        <v>41921</v>
      </c>
      <c r="C1292" s="15">
        <v>2</v>
      </c>
      <c r="D1292" s="15" t="s">
        <v>431</v>
      </c>
      <c r="E1292" s="15">
        <v>4</v>
      </c>
    </row>
    <row r="1293" spans="1:5" x14ac:dyDescent="0.25">
      <c r="A1293" s="15" t="s">
        <v>56</v>
      </c>
      <c r="B1293" s="17">
        <f t="shared" si="26"/>
        <v>41921</v>
      </c>
      <c r="C1293" s="15">
        <v>1</v>
      </c>
      <c r="D1293" s="15" t="s">
        <v>522</v>
      </c>
      <c r="E1293" s="15">
        <v>1</v>
      </c>
    </row>
    <row r="1294" spans="1:5" x14ac:dyDescent="0.25">
      <c r="A1294" s="15" t="s">
        <v>56</v>
      </c>
      <c r="B1294" s="17">
        <f t="shared" si="26"/>
        <v>41921</v>
      </c>
      <c r="C1294" s="15">
        <v>1</v>
      </c>
      <c r="D1294" s="15" t="s">
        <v>462</v>
      </c>
      <c r="E1294" s="15">
        <v>1</v>
      </c>
    </row>
    <row r="1295" spans="1:5" x14ac:dyDescent="0.25">
      <c r="A1295" s="15" t="s">
        <v>56</v>
      </c>
      <c r="B1295" s="17">
        <f t="shared" si="26"/>
        <v>41921</v>
      </c>
      <c r="C1295" s="15">
        <v>1</v>
      </c>
      <c r="D1295" s="15" t="s">
        <v>384</v>
      </c>
      <c r="E1295" s="15">
        <v>6</v>
      </c>
    </row>
    <row r="1296" spans="1:5" x14ac:dyDescent="0.25">
      <c r="A1296" s="15" t="s">
        <v>56</v>
      </c>
      <c r="B1296" s="17">
        <f t="shared" si="26"/>
        <v>41921</v>
      </c>
      <c r="C1296" s="15">
        <v>2</v>
      </c>
      <c r="D1296" s="15" t="s">
        <v>384</v>
      </c>
      <c r="E1296" s="15">
        <v>10</v>
      </c>
    </row>
    <row r="1297" spans="1:5" x14ac:dyDescent="0.25">
      <c r="A1297" s="15" t="s">
        <v>56</v>
      </c>
      <c r="B1297" s="17">
        <f t="shared" si="26"/>
        <v>41921</v>
      </c>
      <c r="C1297" s="15">
        <v>1</v>
      </c>
      <c r="D1297" s="15" t="s">
        <v>403</v>
      </c>
      <c r="E1297" s="15">
        <v>2</v>
      </c>
    </row>
    <row r="1298" spans="1:5" x14ac:dyDescent="0.25">
      <c r="A1298" s="15" t="s">
        <v>56</v>
      </c>
      <c r="B1298" s="17">
        <f t="shared" si="26"/>
        <v>41921</v>
      </c>
      <c r="C1298" s="15">
        <v>1</v>
      </c>
      <c r="D1298" s="15" t="s">
        <v>464</v>
      </c>
      <c r="E1298" s="15">
        <v>1</v>
      </c>
    </row>
    <row r="1299" spans="1:5" x14ac:dyDescent="0.25">
      <c r="A1299" s="15" t="s">
        <v>56</v>
      </c>
      <c r="B1299" s="17">
        <f t="shared" ref="B1299:B1319" si="27">B1298</f>
        <v>41921</v>
      </c>
      <c r="C1299" s="15">
        <v>1</v>
      </c>
      <c r="D1299" s="15" t="s">
        <v>451</v>
      </c>
      <c r="E1299" s="15">
        <v>1</v>
      </c>
    </row>
    <row r="1300" spans="1:5" x14ac:dyDescent="0.25">
      <c r="A1300" s="15" t="s">
        <v>56</v>
      </c>
      <c r="B1300" s="17">
        <f t="shared" si="27"/>
        <v>41921</v>
      </c>
      <c r="C1300" s="15">
        <v>1</v>
      </c>
      <c r="D1300" s="15" t="s">
        <v>329</v>
      </c>
      <c r="E1300" s="15">
        <v>2</v>
      </c>
    </row>
    <row r="1301" spans="1:5" x14ac:dyDescent="0.25">
      <c r="A1301" s="15" t="s">
        <v>56</v>
      </c>
      <c r="B1301" s="17">
        <f t="shared" si="27"/>
        <v>41921</v>
      </c>
      <c r="C1301" s="15">
        <v>2</v>
      </c>
      <c r="D1301" s="15" t="s">
        <v>329</v>
      </c>
      <c r="E1301" s="15">
        <v>7</v>
      </c>
    </row>
    <row r="1302" spans="1:5" x14ac:dyDescent="0.25">
      <c r="A1302" s="15" t="s">
        <v>56</v>
      </c>
      <c r="B1302" s="17">
        <f t="shared" si="27"/>
        <v>41921</v>
      </c>
      <c r="C1302" s="15">
        <v>1</v>
      </c>
      <c r="D1302" s="15" t="s">
        <v>523</v>
      </c>
      <c r="E1302" s="15">
        <v>1</v>
      </c>
    </row>
    <row r="1303" spans="1:5" x14ac:dyDescent="0.25">
      <c r="A1303" s="15" t="s">
        <v>56</v>
      </c>
      <c r="B1303" s="17">
        <f t="shared" si="27"/>
        <v>41921</v>
      </c>
      <c r="C1303" s="15">
        <v>2</v>
      </c>
      <c r="D1303" s="15" t="s">
        <v>433</v>
      </c>
      <c r="E1303" s="15">
        <v>2</v>
      </c>
    </row>
    <row r="1304" spans="1:5" x14ac:dyDescent="0.25">
      <c r="A1304" s="15" t="s">
        <v>56</v>
      </c>
      <c r="B1304" s="17">
        <f t="shared" si="27"/>
        <v>41921</v>
      </c>
      <c r="C1304" s="15">
        <v>2</v>
      </c>
      <c r="D1304" s="15" t="s">
        <v>405</v>
      </c>
      <c r="E1304" s="15">
        <v>1</v>
      </c>
    </row>
    <row r="1305" spans="1:5" x14ac:dyDescent="0.25">
      <c r="A1305" s="15" t="s">
        <v>56</v>
      </c>
      <c r="B1305" s="17">
        <f t="shared" si="27"/>
        <v>41921</v>
      </c>
      <c r="C1305" s="15">
        <v>2</v>
      </c>
      <c r="D1305" s="15" t="s">
        <v>423</v>
      </c>
      <c r="E1305" s="15">
        <v>4</v>
      </c>
    </row>
    <row r="1306" spans="1:5" x14ac:dyDescent="0.25">
      <c r="A1306" s="15" t="s">
        <v>56</v>
      </c>
      <c r="B1306" s="17">
        <f t="shared" si="27"/>
        <v>41921</v>
      </c>
      <c r="C1306" s="15">
        <v>1</v>
      </c>
      <c r="D1306" s="15" t="s">
        <v>332</v>
      </c>
      <c r="E1306" s="15">
        <v>2</v>
      </c>
    </row>
    <row r="1307" spans="1:5" x14ac:dyDescent="0.25">
      <c r="A1307" s="15" t="s">
        <v>56</v>
      </c>
      <c r="B1307" s="17">
        <f t="shared" si="27"/>
        <v>41921</v>
      </c>
      <c r="C1307" s="15">
        <v>1</v>
      </c>
      <c r="D1307" s="15" t="s">
        <v>66</v>
      </c>
      <c r="E1307" s="15">
        <v>1</v>
      </c>
    </row>
    <row r="1308" spans="1:5" x14ac:dyDescent="0.25">
      <c r="A1308" s="15" t="s">
        <v>56</v>
      </c>
      <c r="B1308" s="17">
        <f t="shared" si="27"/>
        <v>41921</v>
      </c>
      <c r="C1308" s="15">
        <v>2</v>
      </c>
      <c r="D1308" s="15" t="s">
        <v>66</v>
      </c>
      <c r="E1308" s="15">
        <v>1</v>
      </c>
    </row>
    <row r="1309" spans="1:5" x14ac:dyDescent="0.25">
      <c r="A1309" s="15" t="s">
        <v>56</v>
      </c>
      <c r="B1309" s="17">
        <f t="shared" si="27"/>
        <v>41921</v>
      </c>
      <c r="C1309" s="15">
        <v>1</v>
      </c>
      <c r="D1309" s="15" t="s">
        <v>333</v>
      </c>
      <c r="E1309" s="15">
        <v>45</v>
      </c>
    </row>
    <row r="1310" spans="1:5" x14ac:dyDescent="0.25">
      <c r="A1310" s="15" t="s">
        <v>56</v>
      </c>
      <c r="B1310" s="17">
        <f t="shared" si="27"/>
        <v>41921</v>
      </c>
      <c r="C1310" s="15">
        <v>2</v>
      </c>
      <c r="D1310" s="15" t="s">
        <v>333</v>
      </c>
      <c r="E1310" s="15">
        <v>38</v>
      </c>
    </row>
    <row r="1311" spans="1:5" x14ac:dyDescent="0.25">
      <c r="A1311" s="15" t="s">
        <v>56</v>
      </c>
      <c r="B1311" s="17">
        <f t="shared" si="27"/>
        <v>41921</v>
      </c>
      <c r="C1311" s="15">
        <v>2</v>
      </c>
      <c r="D1311" s="15" t="s">
        <v>445</v>
      </c>
      <c r="E1311" s="15">
        <v>2</v>
      </c>
    </row>
    <row r="1312" spans="1:5" x14ac:dyDescent="0.25">
      <c r="A1312" s="15" t="s">
        <v>56</v>
      </c>
      <c r="B1312" s="17">
        <f t="shared" si="27"/>
        <v>41921</v>
      </c>
      <c r="C1312" s="15">
        <v>1</v>
      </c>
      <c r="D1312" s="15" t="s">
        <v>122</v>
      </c>
      <c r="E1312" s="15">
        <v>4</v>
      </c>
    </row>
    <row r="1313" spans="1:5" x14ac:dyDescent="0.25">
      <c r="A1313" s="15" t="s">
        <v>56</v>
      </c>
      <c r="B1313" s="17">
        <f t="shared" si="27"/>
        <v>41921</v>
      </c>
      <c r="C1313" s="15">
        <v>2</v>
      </c>
      <c r="D1313" s="15" t="s">
        <v>122</v>
      </c>
      <c r="E1313" s="15">
        <v>2</v>
      </c>
    </row>
    <row r="1314" spans="1:5" x14ac:dyDescent="0.25">
      <c r="A1314" s="15" t="s">
        <v>56</v>
      </c>
      <c r="B1314" s="17">
        <f t="shared" si="27"/>
        <v>41921</v>
      </c>
      <c r="C1314" s="15">
        <v>1</v>
      </c>
      <c r="D1314" s="15" t="s">
        <v>524</v>
      </c>
      <c r="E1314" s="15">
        <v>1</v>
      </c>
    </row>
    <row r="1315" spans="1:5" x14ac:dyDescent="0.25">
      <c r="A1315" s="15" t="s">
        <v>56</v>
      </c>
      <c r="B1315" s="17">
        <f t="shared" si="27"/>
        <v>41921</v>
      </c>
      <c r="C1315" s="15">
        <v>1</v>
      </c>
      <c r="D1315" s="15" t="s">
        <v>525</v>
      </c>
      <c r="E1315" s="15">
        <v>3</v>
      </c>
    </row>
    <row r="1316" spans="1:5" x14ac:dyDescent="0.25">
      <c r="A1316" s="15" t="s">
        <v>56</v>
      </c>
      <c r="B1316" s="17">
        <f t="shared" si="27"/>
        <v>41921</v>
      </c>
      <c r="C1316" s="15">
        <v>1</v>
      </c>
      <c r="D1316" s="15" t="s">
        <v>446</v>
      </c>
      <c r="E1316" s="15">
        <v>1</v>
      </c>
    </row>
    <row r="1317" spans="1:5" x14ac:dyDescent="0.25">
      <c r="A1317" s="15" t="s">
        <v>56</v>
      </c>
      <c r="B1317" s="17">
        <f t="shared" si="27"/>
        <v>41921</v>
      </c>
      <c r="C1317" s="15">
        <v>2</v>
      </c>
      <c r="D1317" s="15" t="s">
        <v>374</v>
      </c>
      <c r="E1317" s="15">
        <v>1</v>
      </c>
    </row>
    <row r="1318" spans="1:5" x14ac:dyDescent="0.25">
      <c r="A1318" s="15" t="s">
        <v>56</v>
      </c>
      <c r="B1318" s="17">
        <f t="shared" si="27"/>
        <v>41921</v>
      </c>
      <c r="C1318" s="15">
        <v>1</v>
      </c>
      <c r="D1318" s="15" t="s">
        <v>526</v>
      </c>
      <c r="E1318" s="15">
        <v>1</v>
      </c>
    </row>
    <row r="1319" spans="1:5" x14ac:dyDescent="0.25">
      <c r="A1319" s="15" t="s">
        <v>56</v>
      </c>
      <c r="B1319" s="17">
        <f t="shared" si="27"/>
        <v>41921</v>
      </c>
      <c r="C1319" s="15">
        <v>2</v>
      </c>
      <c r="D1319" s="15" t="s">
        <v>526</v>
      </c>
      <c r="E1319" s="15">
        <v>1</v>
      </c>
    </row>
    <row r="1320" spans="1:5" x14ac:dyDescent="0.25">
      <c r="A1320" s="15" t="s">
        <v>6</v>
      </c>
      <c r="B1320" s="17">
        <v>42094</v>
      </c>
      <c r="C1320" s="15">
        <v>1</v>
      </c>
      <c r="D1320" s="15" t="s">
        <v>527</v>
      </c>
      <c r="E1320" s="15">
        <v>1</v>
      </c>
    </row>
    <row r="1321" spans="1:5" x14ac:dyDescent="0.25">
      <c r="A1321" s="15" t="s">
        <v>6</v>
      </c>
      <c r="B1321" s="17">
        <f t="shared" ref="B1321:B1353" si="28">B1320</f>
        <v>42094</v>
      </c>
      <c r="C1321" s="15">
        <v>2</v>
      </c>
      <c r="D1321" s="15" t="s">
        <v>527</v>
      </c>
      <c r="E1321" s="15">
        <v>2</v>
      </c>
    </row>
    <row r="1322" spans="1:5" x14ac:dyDescent="0.25">
      <c r="A1322" s="15" t="s">
        <v>6</v>
      </c>
      <c r="B1322" s="17">
        <f t="shared" si="28"/>
        <v>42094</v>
      </c>
      <c r="C1322" s="15">
        <v>1</v>
      </c>
      <c r="D1322" s="15" t="s">
        <v>97</v>
      </c>
      <c r="E1322" s="15">
        <v>1</v>
      </c>
    </row>
    <row r="1323" spans="1:5" x14ac:dyDescent="0.25">
      <c r="A1323" s="15" t="s">
        <v>6</v>
      </c>
      <c r="B1323" s="17">
        <f t="shared" si="28"/>
        <v>42094</v>
      </c>
      <c r="C1323" s="15">
        <v>2</v>
      </c>
      <c r="D1323" s="15" t="s">
        <v>97</v>
      </c>
      <c r="E1323" s="15">
        <v>6</v>
      </c>
    </row>
    <row r="1324" spans="1:5" x14ac:dyDescent="0.25">
      <c r="A1324" s="15" t="s">
        <v>6</v>
      </c>
      <c r="B1324" s="17">
        <f t="shared" si="28"/>
        <v>42094</v>
      </c>
      <c r="C1324" s="15">
        <v>2</v>
      </c>
      <c r="D1324" s="15" t="s">
        <v>411</v>
      </c>
      <c r="E1324" s="15">
        <v>2</v>
      </c>
    </row>
    <row r="1325" spans="1:5" x14ac:dyDescent="0.25">
      <c r="A1325" s="15" t="s">
        <v>6</v>
      </c>
      <c r="B1325" s="17">
        <f t="shared" si="28"/>
        <v>42094</v>
      </c>
      <c r="C1325" s="15">
        <v>1</v>
      </c>
      <c r="D1325" s="15" t="s">
        <v>337</v>
      </c>
      <c r="E1325" s="15">
        <v>1</v>
      </c>
    </row>
    <row r="1326" spans="1:5" x14ac:dyDescent="0.25">
      <c r="A1326" s="15" t="s">
        <v>6</v>
      </c>
      <c r="B1326" s="17">
        <f t="shared" si="28"/>
        <v>42094</v>
      </c>
      <c r="C1326" s="15">
        <v>1</v>
      </c>
      <c r="D1326" s="15" t="s">
        <v>325</v>
      </c>
      <c r="E1326" s="15">
        <v>1</v>
      </c>
    </row>
    <row r="1327" spans="1:5" x14ac:dyDescent="0.25">
      <c r="A1327" s="15" t="s">
        <v>6</v>
      </c>
      <c r="B1327" s="17">
        <f t="shared" si="28"/>
        <v>42094</v>
      </c>
      <c r="C1327" s="15">
        <v>2</v>
      </c>
      <c r="D1327" s="15" t="s">
        <v>325</v>
      </c>
      <c r="E1327" s="15">
        <v>1</v>
      </c>
    </row>
    <row r="1328" spans="1:5" x14ac:dyDescent="0.25">
      <c r="A1328" s="15" t="s">
        <v>6</v>
      </c>
      <c r="B1328" s="17">
        <f t="shared" si="28"/>
        <v>42094</v>
      </c>
      <c r="C1328" s="15">
        <v>2</v>
      </c>
      <c r="D1328" s="15" t="s">
        <v>326</v>
      </c>
      <c r="E1328" s="15">
        <v>1</v>
      </c>
    </row>
    <row r="1329" spans="1:5" x14ac:dyDescent="0.25">
      <c r="A1329" s="15" t="s">
        <v>6</v>
      </c>
      <c r="B1329" s="17">
        <f t="shared" si="28"/>
        <v>42094</v>
      </c>
      <c r="C1329" s="15">
        <v>1</v>
      </c>
      <c r="D1329" s="15" t="s">
        <v>528</v>
      </c>
      <c r="E1329" s="15">
        <v>1</v>
      </c>
    </row>
    <row r="1330" spans="1:5" x14ac:dyDescent="0.25">
      <c r="A1330" s="15" t="s">
        <v>6</v>
      </c>
      <c r="B1330" s="17">
        <f t="shared" si="28"/>
        <v>42094</v>
      </c>
      <c r="C1330" s="15">
        <v>1</v>
      </c>
      <c r="D1330" s="15" t="s">
        <v>389</v>
      </c>
      <c r="E1330" s="15">
        <v>2</v>
      </c>
    </row>
    <row r="1331" spans="1:5" x14ac:dyDescent="0.25">
      <c r="A1331" s="15" t="s">
        <v>6</v>
      </c>
      <c r="B1331" s="17">
        <f t="shared" si="28"/>
        <v>42094</v>
      </c>
      <c r="C1331" s="15">
        <v>2</v>
      </c>
      <c r="D1331" s="15" t="s">
        <v>507</v>
      </c>
      <c r="E1331" s="15">
        <v>1</v>
      </c>
    </row>
    <row r="1332" spans="1:5" x14ac:dyDescent="0.25">
      <c r="A1332" s="15" t="s">
        <v>6</v>
      </c>
      <c r="B1332" s="17">
        <f t="shared" si="28"/>
        <v>42094</v>
      </c>
      <c r="C1332" s="15">
        <v>1</v>
      </c>
      <c r="D1332" s="15" t="s">
        <v>415</v>
      </c>
      <c r="E1332" s="15">
        <v>16</v>
      </c>
    </row>
    <row r="1333" spans="1:5" x14ac:dyDescent="0.25">
      <c r="A1333" s="15" t="s">
        <v>6</v>
      </c>
      <c r="B1333" s="17">
        <f t="shared" si="28"/>
        <v>42094</v>
      </c>
      <c r="C1333" s="15">
        <v>2</v>
      </c>
      <c r="D1333" s="15" t="s">
        <v>415</v>
      </c>
      <c r="E1333" s="15">
        <v>17</v>
      </c>
    </row>
    <row r="1334" spans="1:5" x14ac:dyDescent="0.25">
      <c r="A1334" s="15" t="s">
        <v>6</v>
      </c>
      <c r="B1334" s="17">
        <f t="shared" si="28"/>
        <v>42094</v>
      </c>
      <c r="C1334" s="15">
        <v>1</v>
      </c>
      <c r="D1334" s="15" t="s">
        <v>384</v>
      </c>
      <c r="E1334" s="15">
        <v>31</v>
      </c>
    </row>
    <row r="1335" spans="1:5" x14ac:dyDescent="0.25">
      <c r="A1335" s="15" t="s">
        <v>6</v>
      </c>
      <c r="B1335" s="17">
        <f t="shared" si="28"/>
        <v>42094</v>
      </c>
      <c r="C1335" s="15">
        <v>2</v>
      </c>
      <c r="D1335" s="15" t="s">
        <v>384</v>
      </c>
      <c r="E1335" s="15">
        <v>13</v>
      </c>
    </row>
    <row r="1336" spans="1:5" x14ac:dyDescent="0.25">
      <c r="A1336" s="15" t="s">
        <v>6</v>
      </c>
      <c r="B1336" s="17">
        <f t="shared" si="28"/>
        <v>42094</v>
      </c>
      <c r="C1336" s="15">
        <v>2</v>
      </c>
      <c r="D1336" s="15" t="s">
        <v>403</v>
      </c>
      <c r="E1336" s="15">
        <v>2</v>
      </c>
    </row>
    <row r="1337" spans="1:5" x14ac:dyDescent="0.25">
      <c r="A1337" s="15" t="s">
        <v>6</v>
      </c>
      <c r="B1337" s="17">
        <f t="shared" si="28"/>
        <v>42094</v>
      </c>
      <c r="C1337" s="15">
        <v>2</v>
      </c>
      <c r="D1337" s="15" t="s">
        <v>385</v>
      </c>
      <c r="E1337" s="15">
        <v>2</v>
      </c>
    </row>
    <row r="1338" spans="1:5" x14ac:dyDescent="0.25">
      <c r="A1338" s="15" t="s">
        <v>6</v>
      </c>
      <c r="B1338" s="17">
        <f t="shared" si="28"/>
        <v>42094</v>
      </c>
      <c r="C1338" s="15">
        <v>1</v>
      </c>
      <c r="D1338" s="15" t="s">
        <v>421</v>
      </c>
      <c r="E1338" s="15">
        <v>18</v>
      </c>
    </row>
    <row r="1339" spans="1:5" x14ac:dyDescent="0.25">
      <c r="A1339" s="15" t="s">
        <v>6</v>
      </c>
      <c r="B1339" s="17">
        <f t="shared" si="28"/>
        <v>42094</v>
      </c>
      <c r="C1339" s="15">
        <v>2</v>
      </c>
      <c r="D1339" s="15" t="s">
        <v>421</v>
      </c>
      <c r="E1339" s="15">
        <v>12</v>
      </c>
    </row>
    <row r="1340" spans="1:5" x14ac:dyDescent="0.25">
      <c r="A1340" s="15" t="s">
        <v>6</v>
      </c>
      <c r="B1340" s="17">
        <f t="shared" si="28"/>
        <v>42094</v>
      </c>
      <c r="C1340" s="15">
        <v>1</v>
      </c>
      <c r="D1340" s="15" t="s">
        <v>331</v>
      </c>
      <c r="E1340" s="15">
        <v>1</v>
      </c>
    </row>
    <row r="1341" spans="1:5" x14ac:dyDescent="0.25">
      <c r="A1341" s="15" t="s">
        <v>6</v>
      </c>
      <c r="B1341" s="17">
        <f t="shared" si="28"/>
        <v>42094</v>
      </c>
      <c r="C1341" s="15">
        <v>1</v>
      </c>
      <c r="D1341" s="15" t="s">
        <v>423</v>
      </c>
      <c r="E1341" s="15">
        <v>1</v>
      </c>
    </row>
    <row r="1342" spans="1:5" x14ac:dyDescent="0.25">
      <c r="A1342" s="15" t="s">
        <v>6</v>
      </c>
      <c r="B1342" s="17">
        <f t="shared" si="28"/>
        <v>42094</v>
      </c>
      <c r="C1342" s="15">
        <v>2</v>
      </c>
      <c r="D1342" s="15" t="s">
        <v>423</v>
      </c>
      <c r="E1342" s="15">
        <v>2</v>
      </c>
    </row>
    <row r="1343" spans="1:5" x14ac:dyDescent="0.25">
      <c r="A1343" s="15" t="s">
        <v>6</v>
      </c>
      <c r="B1343" s="17">
        <f t="shared" si="28"/>
        <v>42094</v>
      </c>
      <c r="C1343" s="15">
        <v>1</v>
      </c>
      <c r="D1343" s="15" t="s">
        <v>488</v>
      </c>
      <c r="E1343" s="15">
        <v>1</v>
      </c>
    </row>
    <row r="1344" spans="1:5" x14ac:dyDescent="0.25">
      <c r="A1344" s="15" t="s">
        <v>6</v>
      </c>
      <c r="B1344" s="17">
        <f t="shared" si="28"/>
        <v>42094</v>
      </c>
      <c r="C1344" s="15">
        <v>2</v>
      </c>
      <c r="D1344" s="15" t="s">
        <v>529</v>
      </c>
      <c r="E1344" s="15">
        <v>1</v>
      </c>
    </row>
    <row r="1345" spans="1:5" x14ac:dyDescent="0.25">
      <c r="A1345" s="15" t="s">
        <v>6</v>
      </c>
      <c r="B1345" s="17">
        <f t="shared" si="28"/>
        <v>42094</v>
      </c>
      <c r="C1345" s="15">
        <v>1</v>
      </c>
      <c r="D1345" s="15" t="s">
        <v>452</v>
      </c>
      <c r="E1345" s="15">
        <v>1</v>
      </c>
    </row>
    <row r="1346" spans="1:5" x14ac:dyDescent="0.25">
      <c r="A1346" s="15" t="s">
        <v>6</v>
      </c>
      <c r="B1346" s="17">
        <f t="shared" si="28"/>
        <v>42094</v>
      </c>
      <c r="C1346" s="15">
        <v>1</v>
      </c>
      <c r="D1346" s="15" t="s">
        <v>66</v>
      </c>
      <c r="E1346" s="15">
        <v>3</v>
      </c>
    </row>
    <row r="1347" spans="1:5" x14ac:dyDescent="0.25">
      <c r="A1347" s="15" t="s">
        <v>6</v>
      </c>
      <c r="B1347" s="17">
        <f t="shared" si="28"/>
        <v>42094</v>
      </c>
      <c r="C1347" s="15">
        <v>2</v>
      </c>
      <c r="D1347" s="15" t="s">
        <v>66</v>
      </c>
      <c r="E1347" s="15">
        <v>3</v>
      </c>
    </row>
    <row r="1348" spans="1:5" x14ac:dyDescent="0.25">
      <c r="A1348" s="15" t="s">
        <v>6</v>
      </c>
      <c r="B1348" s="17">
        <f t="shared" si="28"/>
        <v>42094</v>
      </c>
      <c r="C1348" s="15">
        <v>1</v>
      </c>
      <c r="D1348" s="15" t="s">
        <v>333</v>
      </c>
      <c r="E1348" s="15">
        <v>73</v>
      </c>
    </row>
    <row r="1349" spans="1:5" x14ac:dyDescent="0.25">
      <c r="A1349" s="15" t="s">
        <v>6</v>
      </c>
      <c r="B1349" s="17">
        <f t="shared" si="28"/>
        <v>42094</v>
      </c>
      <c r="C1349" s="15">
        <v>2</v>
      </c>
      <c r="D1349" s="15" t="s">
        <v>333</v>
      </c>
      <c r="E1349" s="15">
        <v>79</v>
      </c>
    </row>
    <row r="1350" spans="1:5" x14ac:dyDescent="0.25">
      <c r="A1350" s="15" t="s">
        <v>6</v>
      </c>
      <c r="B1350" s="17">
        <f t="shared" si="28"/>
        <v>42094</v>
      </c>
      <c r="C1350" s="15">
        <v>2</v>
      </c>
      <c r="D1350" s="15" t="s">
        <v>530</v>
      </c>
      <c r="E1350" s="15">
        <v>1</v>
      </c>
    </row>
    <row r="1351" spans="1:5" x14ac:dyDescent="0.25">
      <c r="A1351" s="15" t="s">
        <v>6</v>
      </c>
      <c r="B1351" s="17">
        <f t="shared" si="28"/>
        <v>42094</v>
      </c>
      <c r="C1351" s="15">
        <v>1</v>
      </c>
      <c r="D1351" s="15" t="s">
        <v>447</v>
      </c>
      <c r="E1351" s="15">
        <v>4</v>
      </c>
    </row>
    <row r="1352" spans="1:5" x14ac:dyDescent="0.25">
      <c r="A1352" s="15" t="s">
        <v>6</v>
      </c>
      <c r="B1352" s="17">
        <f t="shared" si="28"/>
        <v>42094</v>
      </c>
      <c r="C1352" s="15">
        <v>1</v>
      </c>
      <c r="D1352" s="15" t="s">
        <v>531</v>
      </c>
      <c r="E1352" s="15">
        <v>1</v>
      </c>
    </row>
    <row r="1353" spans="1:5" x14ac:dyDescent="0.25">
      <c r="A1353" s="15" t="s">
        <v>6</v>
      </c>
      <c r="B1353" s="17">
        <f t="shared" si="28"/>
        <v>42094</v>
      </c>
      <c r="C1353" s="15">
        <v>2</v>
      </c>
      <c r="D1353" s="15" t="s">
        <v>532</v>
      </c>
      <c r="E1353" s="15">
        <v>1</v>
      </c>
    </row>
    <row r="1354" spans="1:5" x14ac:dyDescent="0.25">
      <c r="A1354" s="15" t="s">
        <v>6</v>
      </c>
      <c r="B1354" s="17">
        <v>42303</v>
      </c>
      <c r="C1354" s="15">
        <v>1</v>
      </c>
      <c r="D1354" s="15" t="s">
        <v>527</v>
      </c>
      <c r="E1354" s="15">
        <v>7</v>
      </c>
    </row>
    <row r="1355" spans="1:5" x14ac:dyDescent="0.25">
      <c r="A1355" s="15" t="s">
        <v>6</v>
      </c>
      <c r="B1355" s="17">
        <f t="shared" ref="B1355:B1399" si="29">B1354</f>
        <v>42303</v>
      </c>
      <c r="C1355" s="15">
        <v>2</v>
      </c>
      <c r="D1355" s="15" t="s">
        <v>527</v>
      </c>
      <c r="E1355" s="15">
        <v>6</v>
      </c>
    </row>
    <row r="1356" spans="1:5" x14ac:dyDescent="0.25">
      <c r="A1356" s="15" t="s">
        <v>6</v>
      </c>
      <c r="B1356" s="17">
        <f t="shared" si="29"/>
        <v>42303</v>
      </c>
      <c r="C1356" s="15">
        <v>1</v>
      </c>
      <c r="D1356" s="15" t="s">
        <v>97</v>
      </c>
      <c r="E1356" s="15">
        <v>3</v>
      </c>
    </row>
    <row r="1357" spans="1:5" x14ac:dyDescent="0.25">
      <c r="A1357" s="15" t="s">
        <v>6</v>
      </c>
      <c r="B1357" s="17">
        <f t="shared" si="29"/>
        <v>42303</v>
      </c>
      <c r="C1357" s="15">
        <v>2</v>
      </c>
      <c r="D1357" s="15" t="s">
        <v>97</v>
      </c>
      <c r="E1357" s="15">
        <v>1</v>
      </c>
    </row>
    <row r="1358" spans="1:5" x14ac:dyDescent="0.25">
      <c r="A1358" s="15" t="s">
        <v>6</v>
      </c>
      <c r="B1358" s="17">
        <f t="shared" si="29"/>
        <v>42303</v>
      </c>
      <c r="C1358" s="15">
        <v>1</v>
      </c>
      <c r="D1358" s="15" t="s">
        <v>411</v>
      </c>
      <c r="E1358" s="15">
        <v>1</v>
      </c>
    </row>
    <row r="1359" spans="1:5" x14ac:dyDescent="0.25">
      <c r="A1359" s="15" t="s">
        <v>6</v>
      </c>
      <c r="B1359" s="17">
        <f t="shared" si="29"/>
        <v>42303</v>
      </c>
      <c r="C1359" s="15">
        <v>2</v>
      </c>
      <c r="D1359" s="15" t="s">
        <v>411</v>
      </c>
      <c r="E1359" s="15">
        <v>2</v>
      </c>
    </row>
    <row r="1360" spans="1:5" x14ac:dyDescent="0.25">
      <c r="A1360" s="15" t="s">
        <v>6</v>
      </c>
      <c r="B1360" s="17">
        <f t="shared" si="29"/>
        <v>42303</v>
      </c>
      <c r="C1360" s="15">
        <v>2</v>
      </c>
      <c r="D1360" s="15" t="s">
        <v>325</v>
      </c>
      <c r="E1360" s="15">
        <v>3</v>
      </c>
    </row>
    <row r="1361" spans="1:5" x14ac:dyDescent="0.25">
      <c r="A1361" s="15" t="s">
        <v>6</v>
      </c>
      <c r="B1361" s="17">
        <f t="shared" si="29"/>
        <v>42303</v>
      </c>
      <c r="C1361" s="15">
        <v>1</v>
      </c>
      <c r="D1361" s="15" t="s">
        <v>528</v>
      </c>
      <c r="E1361" s="15">
        <v>1</v>
      </c>
    </row>
    <row r="1362" spans="1:5" x14ac:dyDescent="0.25">
      <c r="A1362" s="15" t="s">
        <v>6</v>
      </c>
      <c r="B1362" s="17">
        <f t="shared" si="29"/>
        <v>42303</v>
      </c>
      <c r="C1362" s="15">
        <v>1</v>
      </c>
      <c r="D1362" s="15" t="s">
        <v>326</v>
      </c>
      <c r="E1362" s="15">
        <v>2</v>
      </c>
    </row>
    <row r="1363" spans="1:5" x14ac:dyDescent="0.25">
      <c r="A1363" s="15" t="s">
        <v>6</v>
      </c>
      <c r="B1363" s="17">
        <f t="shared" si="29"/>
        <v>42303</v>
      </c>
      <c r="C1363" s="15">
        <v>2</v>
      </c>
      <c r="D1363" s="15" t="s">
        <v>533</v>
      </c>
      <c r="E1363" s="15">
        <v>1</v>
      </c>
    </row>
    <row r="1364" spans="1:5" x14ac:dyDescent="0.25">
      <c r="A1364" s="15" t="s">
        <v>6</v>
      </c>
      <c r="B1364" s="17">
        <f t="shared" si="29"/>
        <v>42303</v>
      </c>
      <c r="C1364" s="15">
        <v>1</v>
      </c>
      <c r="D1364" s="15" t="s">
        <v>429</v>
      </c>
      <c r="E1364" s="15">
        <v>1</v>
      </c>
    </row>
    <row r="1365" spans="1:5" x14ac:dyDescent="0.25">
      <c r="A1365" s="15" t="s">
        <v>6</v>
      </c>
      <c r="B1365" s="17">
        <f t="shared" si="29"/>
        <v>42303</v>
      </c>
      <c r="C1365" s="15">
        <v>1</v>
      </c>
      <c r="D1365" s="15" t="s">
        <v>82</v>
      </c>
      <c r="E1365" s="15">
        <v>1</v>
      </c>
    </row>
    <row r="1366" spans="1:5" x14ac:dyDescent="0.25">
      <c r="A1366" s="15" t="s">
        <v>6</v>
      </c>
      <c r="B1366" s="17">
        <f t="shared" si="29"/>
        <v>42303</v>
      </c>
      <c r="C1366" s="15">
        <v>2</v>
      </c>
      <c r="D1366" s="15" t="s">
        <v>82</v>
      </c>
      <c r="E1366" s="15">
        <v>1</v>
      </c>
    </row>
    <row r="1367" spans="1:5" x14ac:dyDescent="0.25">
      <c r="A1367" s="15" t="s">
        <v>6</v>
      </c>
      <c r="B1367" s="17">
        <f t="shared" si="29"/>
        <v>42303</v>
      </c>
      <c r="C1367" s="15">
        <v>1</v>
      </c>
      <c r="D1367" s="15" t="s">
        <v>534</v>
      </c>
      <c r="E1367" s="15">
        <v>2</v>
      </c>
    </row>
    <row r="1368" spans="1:5" x14ac:dyDescent="0.25">
      <c r="A1368" s="15" t="s">
        <v>6</v>
      </c>
      <c r="B1368" s="17">
        <f t="shared" si="29"/>
        <v>42303</v>
      </c>
      <c r="C1368" s="15">
        <v>2</v>
      </c>
      <c r="D1368" s="15" t="s">
        <v>534</v>
      </c>
      <c r="E1368" s="15">
        <v>1</v>
      </c>
    </row>
    <row r="1369" spans="1:5" x14ac:dyDescent="0.25">
      <c r="A1369" s="15" t="s">
        <v>6</v>
      </c>
      <c r="B1369" s="17">
        <f t="shared" si="29"/>
        <v>42303</v>
      </c>
      <c r="C1369" s="15">
        <v>1</v>
      </c>
      <c r="D1369" s="15" t="s">
        <v>415</v>
      </c>
      <c r="E1369" s="15">
        <v>18</v>
      </c>
    </row>
    <row r="1370" spans="1:5" x14ac:dyDescent="0.25">
      <c r="A1370" s="15" t="s">
        <v>6</v>
      </c>
      <c r="B1370" s="17">
        <f t="shared" si="29"/>
        <v>42303</v>
      </c>
      <c r="C1370" s="15">
        <v>2</v>
      </c>
      <c r="D1370" s="15" t="s">
        <v>415</v>
      </c>
      <c r="E1370" s="15">
        <v>13</v>
      </c>
    </row>
    <row r="1371" spans="1:5" x14ac:dyDescent="0.25">
      <c r="A1371" s="15" t="s">
        <v>6</v>
      </c>
      <c r="B1371" s="17">
        <f t="shared" si="29"/>
        <v>42303</v>
      </c>
      <c r="C1371" s="15">
        <v>1</v>
      </c>
      <c r="D1371" s="15" t="s">
        <v>416</v>
      </c>
      <c r="E1371" s="15">
        <v>5</v>
      </c>
    </row>
    <row r="1372" spans="1:5" x14ac:dyDescent="0.25">
      <c r="A1372" s="15" t="s">
        <v>6</v>
      </c>
      <c r="B1372" s="17">
        <f t="shared" si="29"/>
        <v>42303</v>
      </c>
      <c r="C1372" s="15">
        <v>2</v>
      </c>
      <c r="D1372" s="15" t="s">
        <v>416</v>
      </c>
      <c r="E1372" s="15">
        <v>4</v>
      </c>
    </row>
    <row r="1373" spans="1:5" x14ac:dyDescent="0.25">
      <c r="A1373" s="15" t="s">
        <v>6</v>
      </c>
      <c r="B1373" s="17">
        <f t="shared" si="29"/>
        <v>42303</v>
      </c>
      <c r="C1373" s="15">
        <v>1</v>
      </c>
      <c r="D1373" s="15" t="s">
        <v>384</v>
      </c>
      <c r="E1373" s="15">
        <v>24</v>
      </c>
    </row>
    <row r="1374" spans="1:5" x14ac:dyDescent="0.25">
      <c r="A1374" s="15" t="s">
        <v>6</v>
      </c>
      <c r="B1374" s="17">
        <f t="shared" si="29"/>
        <v>42303</v>
      </c>
      <c r="C1374" s="15">
        <v>2</v>
      </c>
      <c r="D1374" s="15" t="s">
        <v>384</v>
      </c>
      <c r="E1374" s="15">
        <v>31</v>
      </c>
    </row>
    <row r="1375" spans="1:5" x14ac:dyDescent="0.25">
      <c r="A1375" s="15" t="s">
        <v>6</v>
      </c>
      <c r="B1375" s="17">
        <f t="shared" si="29"/>
        <v>42303</v>
      </c>
      <c r="C1375" s="15">
        <v>1</v>
      </c>
      <c r="D1375" s="15" t="s">
        <v>403</v>
      </c>
      <c r="E1375" s="15">
        <v>2</v>
      </c>
    </row>
    <row r="1376" spans="1:5" x14ac:dyDescent="0.25">
      <c r="A1376" s="15" t="s">
        <v>6</v>
      </c>
      <c r="B1376" s="17">
        <f t="shared" si="29"/>
        <v>42303</v>
      </c>
      <c r="C1376" s="15">
        <v>1</v>
      </c>
      <c r="D1376" s="15" t="s">
        <v>385</v>
      </c>
      <c r="E1376" s="15">
        <v>4</v>
      </c>
    </row>
    <row r="1377" spans="1:5" x14ac:dyDescent="0.25">
      <c r="A1377" s="15" t="s">
        <v>6</v>
      </c>
      <c r="B1377" s="17">
        <f t="shared" si="29"/>
        <v>42303</v>
      </c>
      <c r="C1377" s="15">
        <v>2</v>
      </c>
      <c r="D1377" s="15" t="s">
        <v>385</v>
      </c>
      <c r="E1377" s="15">
        <v>3</v>
      </c>
    </row>
    <row r="1378" spans="1:5" x14ac:dyDescent="0.25">
      <c r="A1378" s="15" t="s">
        <v>6</v>
      </c>
      <c r="B1378" s="17">
        <f t="shared" si="29"/>
        <v>42303</v>
      </c>
      <c r="C1378" s="15">
        <v>1</v>
      </c>
      <c r="D1378" s="15" t="s">
        <v>421</v>
      </c>
      <c r="E1378" s="15">
        <v>40</v>
      </c>
    </row>
    <row r="1379" spans="1:5" x14ac:dyDescent="0.25">
      <c r="A1379" s="15" t="s">
        <v>6</v>
      </c>
      <c r="B1379" s="17">
        <f t="shared" si="29"/>
        <v>42303</v>
      </c>
      <c r="C1379" s="15">
        <v>2</v>
      </c>
      <c r="D1379" s="15" t="s">
        <v>421</v>
      </c>
      <c r="E1379" s="15">
        <v>39</v>
      </c>
    </row>
    <row r="1380" spans="1:5" x14ac:dyDescent="0.25">
      <c r="A1380" s="15" t="s">
        <v>6</v>
      </c>
      <c r="B1380" s="17">
        <f t="shared" si="29"/>
        <v>42303</v>
      </c>
      <c r="C1380" s="15">
        <v>1</v>
      </c>
      <c r="D1380" s="15" t="s">
        <v>387</v>
      </c>
      <c r="E1380" s="15">
        <v>1</v>
      </c>
    </row>
    <row r="1381" spans="1:5" x14ac:dyDescent="0.25">
      <c r="A1381" s="15" t="s">
        <v>6</v>
      </c>
      <c r="B1381" s="17">
        <f t="shared" si="29"/>
        <v>42303</v>
      </c>
      <c r="C1381" s="15">
        <v>2</v>
      </c>
      <c r="D1381" s="15" t="s">
        <v>387</v>
      </c>
      <c r="E1381" s="15">
        <v>1</v>
      </c>
    </row>
    <row r="1382" spans="1:5" x14ac:dyDescent="0.25">
      <c r="A1382" s="15" t="s">
        <v>6</v>
      </c>
      <c r="B1382" s="17">
        <f t="shared" si="29"/>
        <v>42303</v>
      </c>
      <c r="C1382" s="15">
        <v>1</v>
      </c>
      <c r="D1382" s="15" t="s">
        <v>433</v>
      </c>
      <c r="E1382" s="15">
        <v>4</v>
      </c>
    </row>
    <row r="1383" spans="1:5" x14ac:dyDescent="0.25">
      <c r="A1383" s="15" t="s">
        <v>6</v>
      </c>
      <c r="B1383" s="17">
        <f t="shared" si="29"/>
        <v>42303</v>
      </c>
      <c r="C1383" s="15">
        <v>1</v>
      </c>
      <c r="D1383" s="15" t="s">
        <v>535</v>
      </c>
      <c r="E1383" s="15">
        <v>1</v>
      </c>
    </row>
    <row r="1384" spans="1:5" x14ac:dyDescent="0.25">
      <c r="A1384" s="15" t="s">
        <v>6</v>
      </c>
      <c r="B1384" s="17">
        <f t="shared" si="29"/>
        <v>42303</v>
      </c>
      <c r="C1384" s="15">
        <v>2</v>
      </c>
      <c r="D1384" s="15" t="s">
        <v>405</v>
      </c>
      <c r="E1384" s="15">
        <v>1</v>
      </c>
    </row>
    <row r="1385" spans="1:5" x14ac:dyDescent="0.25">
      <c r="A1385" s="15" t="s">
        <v>6</v>
      </c>
      <c r="B1385" s="17">
        <f t="shared" si="29"/>
        <v>42303</v>
      </c>
      <c r="C1385" s="15">
        <v>2</v>
      </c>
      <c r="D1385" s="15" t="s">
        <v>352</v>
      </c>
      <c r="E1385" s="15">
        <v>2</v>
      </c>
    </row>
    <row r="1386" spans="1:5" x14ac:dyDescent="0.25">
      <c r="A1386" s="15" t="s">
        <v>6</v>
      </c>
      <c r="B1386" s="17">
        <f t="shared" si="29"/>
        <v>42303</v>
      </c>
      <c r="C1386" s="15">
        <v>1</v>
      </c>
      <c r="D1386" s="15" t="s">
        <v>331</v>
      </c>
      <c r="E1386" s="15">
        <v>4</v>
      </c>
    </row>
    <row r="1387" spans="1:5" x14ac:dyDescent="0.25">
      <c r="A1387" s="15" t="s">
        <v>6</v>
      </c>
      <c r="B1387" s="17">
        <f t="shared" si="29"/>
        <v>42303</v>
      </c>
      <c r="C1387" s="15">
        <v>2</v>
      </c>
      <c r="D1387" s="15" t="s">
        <v>331</v>
      </c>
      <c r="E1387" s="15">
        <v>6</v>
      </c>
    </row>
    <row r="1388" spans="1:5" x14ac:dyDescent="0.25">
      <c r="A1388" s="15" t="s">
        <v>6</v>
      </c>
      <c r="B1388" s="17">
        <f t="shared" si="29"/>
        <v>42303</v>
      </c>
      <c r="C1388" s="15">
        <v>1</v>
      </c>
      <c r="D1388" s="15" t="s">
        <v>529</v>
      </c>
      <c r="E1388" s="15">
        <v>1</v>
      </c>
    </row>
    <row r="1389" spans="1:5" x14ac:dyDescent="0.25">
      <c r="A1389" s="15" t="s">
        <v>6</v>
      </c>
      <c r="B1389" s="17">
        <f t="shared" si="29"/>
        <v>42303</v>
      </c>
      <c r="C1389" s="15">
        <v>1</v>
      </c>
      <c r="D1389" s="15" t="s">
        <v>66</v>
      </c>
      <c r="E1389" s="15">
        <v>2</v>
      </c>
    </row>
    <row r="1390" spans="1:5" x14ac:dyDescent="0.25">
      <c r="A1390" s="15" t="s">
        <v>6</v>
      </c>
      <c r="B1390" s="17">
        <f t="shared" si="29"/>
        <v>42303</v>
      </c>
      <c r="C1390" s="15">
        <v>2</v>
      </c>
      <c r="D1390" s="15" t="s">
        <v>66</v>
      </c>
      <c r="E1390" s="15">
        <v>3</v>
      </c>
    </row>
    <row r="1391" spans="1:5" x14ac:dyDescent="0.25">
      <c r="A1391" s="15" t="s">
        <v>6</v>
      </c>
      <c r="B1391" s="17">
        <f t="shared" si="29"/>
        <v>42303</v>
      </c>
      <c r="C1391" s="15">
        <v>1</v>
      </c>
      <c r="D1391" s="15" t="s">
        <v>69</v>
      </c>
      <c r="E1391" s="15">
        <v>1</v>
      </c>
    </row>
    <row r="1392" spans="1:5" x14ac:dyDescent="0.25">
      <c r="A1392" s="15" t="s">
        <v>6</v>
      </c>
      <c r="B1392" s="17">
        <f t="shared" si="29"/>
        <v>42303</v>
      </c>
      <c r="C1392" s="15">
        <v>2</v>
      </c>
      <c r="D1392" s="15" t="s">
        <v>486</v>
      </c>
      <c r="E1392" s="15">
        <v>1</v>
      </c>
    </row>
    <row r="1393" spans="1:5" x14ac:dyDescent="0.25">
      <c r="A1393" s="15" t="s">
        <v>6</v>
      </c>
      <c r="B1393" s="17">
        <f t="shared" si="29"/>
        <v>42303</v>
      </c>
      <c r="C1393" s="15">
        <v>2</v>
      </c>
      <c r="D1393" s="15" t="s">
        <v>536</v>
      </c>
      <c r="E1393" s="15">
        <v>1</v>
      </c>
    </row>
    <row r="1394" spans="1:5" x14ac:dyDescent="0.25">
      <c r="A1394" s="15" t="s">
        <v>6</v>
      </c>
      <c r="B1394" s="17">
        <f t="shared" si="29"/>
        <v>42303</v>
      </c>
      <c r="C1394" s="15">
        <v>1</v>
      </c>
      <c r="D1394" s="15" t="s">
        <v>333</v>
      </c>
      <c r="E1394" s="15">
        <v>31</v>
      </c>
    </row>
    <row r="1395" spans="1:5" x14ac:dyDescent="0.25">
      <c r="A1395" s="15" t="s">
        <v>6</v>
      </c>
      <c r="B1395" s="17">
        <f t="shared" si="29"/>
        <v>42303</v>
      </c>
      <c r="C1395" s="15">
        <v>2</v>
      </c>
      <c r="D1395" s="15" t="s">
        <v>333</v>
      </c>
      <c r="E1395" s="15">
        <v>30</v>
      </c>
    </row>
    <row r="1396" spans="1:5" x14ac:dyDescent="0.25">
      <c r="A1396" s="15" t="s">
        <v>6</v>
      </c>
      <c r="B1396" s="17">
        <f t="shared" si="29"/>
        <v>42303</v>
      </c>
      <c r="C1396" s="15">
        <v>1</v>
      </c>
      <c r="D1396" s="15" t="s">
        <v>445</v>
      </c>
      <c r="E1396" s="15">
        <v>1</v>
      </c>
    </row>
    <row r="1397" spans="1:5" x14ac:dyDescent="0.25">
      <c r="A1397" s="15" t="s">
        <v>6</v>
      </c>
      <c r="B1397" s="17">
        <f t="shared" si="29"/>
        <v>42303</v>
      </c>
      <c r="C1397" s="15">
        <v>2</v>
      </c>
      <c r="D1397" s="15" t="s">
        <v>445</v>
      </c>
      <c r="E1397" s="15">
        <v>1</v>
      </c>
    </row>
    <row r="1398" spans="1:5" x14ac:dyDescent="0.25">
      <c r="A1398" s="15" t="s">
        <v>6</v>
      </c>
      <c r="B1398" s="17">
        <f t="shared" si="29"/>
        <v>42303</v>
      </c>
      <c r="C1398" s="15">
        <v>1</v>
      </c>
      <c r="D1398" s="15" t="s">
        <v>537</v>
      </c>
      <c r="E1398" s="15">
        <v>1</v>
      </c>
    </row>
    <row r="1399" spans="1:5" x14ac:dyDescent="0.25">
      <c r="A1399" s="15" t="s">
        <v>6</v>
      </c>
      <c r="B1399" s="17">
        <f t="shared" si="29"/>
        <v>42303</v>
      </c>
      <c r="C1399" s="15">
        <v>1</v>
      </c>
      <c r="D1399" s="15" t="s">
        <v>447</v>
      </c>
      <c r="E1399" s="15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A71A-0FF5-4F67-AE90-8455BEC9C421}">
  <dimension ref="A1:G501"/>
  <sheetViews>
    <sheetView workbookViewId="0">
      <selection activeCell="G501" sqref="G501"/>
    </sheetView>
  </sheetViews>
  <sheetFormatPr defaultRowHeight="15" x14ac:dyDescent="0.25"/>
  <cols>
    <col min="1" max="1" width="15.7109375" customWidth="1"/>
    <col min="2" max="2" width="10.28515625" bestFit="1" customWidth="1"/>
    <col min="3" max="3" width="4.28515625" bestFit="1" customWidth="1"/>
    <col min="4" max="4" width="25.140625" bestFit="1" customWidth="1"/>
    <col min="5" max="5" width="10.5703125" bestFit="1" customWidth="1"/>
    <col min="6" max="6" width="9.7109375" customWidth="1"/>
    <col min="7" max="7" width="16.7109375" customWidth="1"/>
  </cols>
  <sheetData>
    <row r="1" spans="1:7" x14ac:dyDescent="0.25">
      <c r="A1" s="15" t="s">
        <v>1</v>
      </c>
      <c r="B1" s="15" t="s">
        <v>3</v>
      </c>
      <c r="C1" s="15" t="s">
        <v>63</v>
      </c>
      <c r="D1" s="15" t="s">
        <v>310</v>
      </c>
      <c r="E1" s="16" t="s">
        <v>311</v>
      </c>
      <c r="F1" s="16" t="s">
        <v>312</v>
      </c>
      <c r="G1" s="16" t="s">
        <v>313</v>
      </c>
    </row>
    <row r="2" spans="1:7" x14ac:dyDescent="0.25">
      <c r="A2" s="15" t="s">
        <v>6</v>
      </c>
      <c r="B2" s="17">
        <v>44995</v>
      </c>
      <c r="C2" s="15">
        <v>1</v>
      </c>
      <c r="D2" s="16" t="s">
        <v>314</v>
      </c>
      <c r="E2" s="16">
        <v>20</v>
      </c>
      <c r="F2" s="16">
        <v>2.0833333333333335</v>
      </c>
      <c r="G2" s="16">
        <v>2.0833333333333335</v>
      </c>
    </row>
    <row r="3" spans="1:7" x14ac:dyDescent="0.25">
      <c r="A3" s="15" t="s">
        <v>6</v>
      </c>
      <c r="B3" s="17">
        <v>44995</v>
      </c>
      <c r="C3" s="15">
        <v>1</v>
      </c>
      <c r="D3" s="16" t="s">
        <v>315</v>
      </c>
      <c r="E3" s="16">
        <v>1</v>
      </c>
      <c r="F3" s="16">
        <v>2</v>
      </c>
      <c r="G3" s="16">
        <v>2</v>
      </c>
    </row>
    <row r="4" spans="1:7" x14ac:dyDescent="0.25">
      <c r="A4" s="15" t="s">
        <v>6</v>
      </c>
      <c r="B4" s="17">
        <v>44995</v>
      </c>
      <c r="C4" s="15">
        <v>1</v>
      </c>
      <c r="D4" s="16" t="s">
        <v>316</v>
      </c>
      <c r="E4" s="16">
        <v>2</v>
      </c>
      <c r="F4" s="16">
        <v>2.8571428571428572</v>
      </c>
      <c r="G4" s="16">
        <v>2.8571428571428572</v>
      </c>
    </row>
    <row r="5" spans="1:7" x14ac:dyDescent="0.25">
      <c r="A5" s="15" t="s">
        <v>6</v>
      </c>
      <c r="B5" s="17">
        <v>44995</v>
      </c>
      <c r="C5" s="15">
        <v>1</v>
      </c>
      <c r="D5" s="16" t="s">
        <v>317</v>
      </c>
      <c r="E5" s="16">
        <v>14.184397163120568</v>
      </c>
      <c r="F5" s="16">
        <v>3.1359063170047836</v>
      </c>
      <c r="G5" s="16">
        <v>3.1359063170047836</v>
      </c>
    </row>
    <row r="6" spans="1:7" x14ac:dyDescent="0.25">
      <c r="A6" s="15" t="s">
        <v>6</v>
      </c>
      <c r="B6" s="17">
        <v>44995</v>
      </c>
      <c r="C6" s="15">
        <v>1</v>
      </c>
      <c r="D6" s="16" t="s">
        <v>318</v>
      </c>
      <c r="E6" s="16">
        <v>4</v>
      </c>
      <c r="F6" s="16">
        <v>5.7142857142857144</v>
      </c>
      <c r="G6" s="16">
        <v>5.7142857142857144</v>
      </c>
    </row>
    <row r="7" spans="1:7" x14ac:dyDescent="0.25">
      <c r="A7" s="15" t="s">
        <v>6</v>
      </c>
      <c r="B7" s="17">
        <v>44995</v>
      </c>
      <c r="C7" s="15">
        <v>1</v>
      </c>
      <c r="D7" s="16" t="s">
        <v>319</v>
      </c>
      <c r="E7" s="16">
        <v>1</v>
      </c>
      <c r="F7" s="16">
        <v>3.3333333333333335</v>
      </c>
      <c r="G7" s="16">
        <v>3.3333333333333335</v>
      </c>
    </row>
    <row r="8" spans="1:7" x14ac:dyDescent="0.25">
      <c r="A8" s="15" t="s">
        <v>6</v>
      </c>
      <c r="B8" s="17">
        <v>44995</v>
      </c>
      <c r="C8" s="15">
        <v>1</v>
      </c>
      <c r="D8" s="16" t="s">
        <v>320</v>
      </c>
      <c r="E8" s="16">
        <v>22.695035460992909</v>
      </c>
      <c r="F8" s="16">
        <v>8.2609929078014179</v>
      </c>
      <c r="G8" s="16">
        <v>8.2609929078014179</v>
      </c>
    </row>
    <row r="9" spans="1:7" x14ac:dyDescent="0.25">
      <c r="A9" s="15" t="s">
        <v>6</v>
      </c>
      <c r="B9" s="17">
        <v>44995</v>
      </c>
      <c r="C9" s="15">
        <v>1</v>
      </c>
      <c r="D9" s="16" t="s">
        <v>321</v>
      </c>
      <c r="E9" s="16">
        <v>6.3829787234042552</v>
      </c>
      <c r="F9" s="16">
        <v>5.8799328771670609</v>
      </c>
      <c r="G9" s="16">
        <v>5.8799328771670609</v>
      </c>
    </row>
    <row r="10" spans="1:7" x14ac:dyDescent="0.25">
      <c r="A10" s="15" t="s">
        <v>6</v>
      </c>
      <c r="B10" s="17">
        <v>44995</v>
      </c>
      <c r="C10" s="15">
        <v>1</v>
      </c>
      <c r="D10" s="16" t="s">
        <v>322</v>
      </c>
      <c r="E10" s="16">
        <v>0</v>
      </c>
      <c r="F10" s="16">
        <v>0</v>
      </c>
      <c r="G10" s="16">
        <v>0</v>
      </c>
    </row>
    <row r="11" spans="1:7" x14ac:dyDescent="0.25">
      <c r="A11" s="15" t="s">
        <v>6</v>
      </c>
      <c r="B11" s="17">
        <v>44995</v>
      </c>
      <c r="C11" s="15">
        <v>1</v>
      </c>
      <c r="D11" s="16" t="s">
        <v>323</v>
      </c>
      <c r="E11" s="16">
        <v>14.893617021276595</v>
      </c>
      <c r="F11" s="16">
        <v>4.8352060414431026</v>
      </c>
      <c r="G11" s="16">
        <v>4.8352060414431026</v>
      </c>
    </row>
    <row r="12" spans="1:7" x14ac:dyDescent="0.25">
      <c r="A12" s="15" t="s">
        <v>6</v>
      </c>
      <c r="B12" s="17">
        <v>44995</v>
      </c>
      <c r="C12" s="15">
        <v>2</v>
      </c>
      <c r="D12" s="16" t="s">
        <v>314</v>
      </c>
      <c r="E12" s="16">
        <v>21</v>
      </c>
      <c r="F12" s="16">
        <v>2.5</v>
      </c>
      <c r="G12" s="16">
        <v>2.5</v>
      </c>
    </row>
    <row r="13" spans="1:7" x14ac:dyDescent="0.25">
      <c r="A13" s="15" t="s">
        <v>6</v>
      </c>
      <c r="B13" s="17">
        <v>44995</v>
      </c>
      <c r="C13" s="15">
        <v>2</v>
      </c>
      <c r="D13" s="16" t="s">
        <v>315</v>
      </c>
      <c r="E13" s="16">
        <v>1</v>
      </c>
      <c r="F13" s="16">
        <v>2</v>
      </c>
      <c r="G13" s="16">
        <v>2</v>
      </c>
    </row>
    <row r="14" spans="1:7" x14ac:dyDescent="0.25">
      <c r="A14" s="15" t="s">
        <v>6</v>
      </c>
      <c r="B14" s="17">
        <v>44995</v>
      </c>
      <c r="C14" s="15">
        <v>2</v>
      </c>
      <c r="D14" s="16" t="s">
        <v>316</v>
      </c>
      <c r="E14" s="16">
        <v>2</v>
      </c>
      <c r="F14" s="16">
        <v>2.8571428571428572</v>
      </c>
      <c r="G14" s="16">
        <v>2.8571428571428572</v>
      </c>
    </row>
    <row r="15" spans="1:7" x14ac:dyDescent="0.25">
      <c r="A15" s="15" t="s">
        <v>6</v>
      </c>
      <c r="B15" s="17">
        <v>44995</v>
      </c>
      <c r="C15" s="15">
        <v>2</v>
      </c>
      <c r="D15" s="16" t="s">
        <v>317</v>
      </c>
      <c r="E15" s="16">
        <v>15.034965034965033</v>
      </c>
      <c r="F15" s="16">
        <v>3.3337127988290778</v>
      </c>
      <c r="G15" s="16">
        <v>3.3337127988290778</v>
      </c>
    </row>
    <row r="16" spans="1:7" x14ac:dyDescent="0.25">
      <c r="A16" s="15" t="s">
        <v>6</v>
      </c>
      <c r="B16" s="17">
        <v>44995</v>
      </c>
      <c r="C16" s="15">
        <v>2</v>
      </c>
      <c r="D16" s="16" t="s">
        <v>318</v>
      </c>
      <c r="E16" s="16">
        <v>4</v>
      </c>
      <c r="F16" s="16">
        <v>5.7142857142857144</v>
      </c>
      <c r="G16" s="16">
        <v>5.7142857142857144</v>
      </c>
    </row>
    <row r="17" spans="1:7" x14ac:dyDescent="0.25">
      <c r="A17" s="15" t="s">
        <v>6</v>
      </c>
      <c r="B17" s="17">
        <v>44995</v>
      </c>
      <c r="C17" s="15">
        <v>2</v>
      </c>
      <c r="D17" s="16" t="s">
        <v>319</v>
      </c>
      <c r="E17" s="16">
        <v>0</v>
      </c>
      <c r="F17" s="16">
        <v>0</v>
      </c>
      <c r="G17" s="16">
        <v>0</v>
      </c>
    </row>
    <row r="18" spans="1:7" x14ac:dyDescent="0.25">
      <c r="A18" s="15" t="s">
        <v>6</v>
      </c>
      <c r="B18" s="17">
        <v>44995</v>
      </c>
      <c r="C18" s="15">
        <v>2</v>
      </c>
      <c r="D18" s="16" t="s">
        <v>320</v>
      </c>
      <c r="E18" s="16">
        <v>25.174825174825177</v>
      </c>
      <c r="F18" s="16">
        <v>7.7650349650349639</v>
      </c>
      <c r="G18" s="16">
        <v>7.7650349650349639</v>
      </c>
    </row>
    <row r="19" spans="1:7" x14ac:dyDescent="0.25">
      <c r="A19" s="15" t="s">
        <v>6</v>
      </c>
      <c r="B19" s="17">
        <v>44995</v>
      </c>
      <c r="C19" s="15">
        <v>2</v>
      </c>
      <c r="D19" s="16" t="s">
        <v>321</v>
      </c>
      <c r="E19" s="16">
        <v>4.1958041958041958</v>
      </c>
      <c r="F19" s="16">
        <v>4.8466218072289768</v>
      </c>
      <c r="G19" s="16">
        <v>4.8466218072289768</v>
      </c>
    </row>
    <row r="20" spans="1:7" x14ac:dyDescent="0.25">
      <c r="A20" s="15" t="s">
        <v>6</v>
      </c>
      <c r="B20" s="17">
        <v>44995</v>
      </c>
      <c r="C20" s="15">
        <v>2</v>
      </c>
      <c r="D20" s="16" t="s">
        <v>322</v>
      </c>
      <c r="E20" s="16">
        <v>0</v>
      </c>
      <c r="F20" s="16">
        <v>0</v>
      </c>
      <c r="G20" s="16">
        <v>0</v>
      </c>
    </row>
    <row r="21" spans="1:7" x14ac:dyDescent="0.25">
      <c r="A21" s="15" t="s">
        <v>6</v>
      </c>
      <c r="B21" s="17">
        <v>44995</v>
      </c>
      <c r="C21" s="15">
        <v>2</v>
      </c>
      <c r="D21" s="16" t="s">
        <v>323</v>
      </c>
      <c r="E21" s="16">
        <v>11.888111888111888</v>
      </c>
      <c r="F21" s="16">
        <v>5.3592366814752097</v>
      </c>
      <c r="G21" s="16">
        <v>5.3592366814752097</v>
      </c>
    </row>
    <row r="22" spans="1:7" x14ac:dyDescent="0.25">
      <c r="A22" s="15" t="s">
        <v>32</v>
      </c>
      <c r="B22" s="17">
        <v>41989</v>
      </c>
      <c r="C22" s="15">
        <v>1</v>
      </c>
      <c r="D22" s="16" t="s">
        <v>314</v>
      </c>
      <c r="E22" s="16">
        <v>16</v>
      </c>
      <c r="F22" s="16">
        <f>10 * (E22-15)/24</f>
        <v>0.41666666666666669</v>
      </c>
      <c r="G22" s="16">
        <v>0.42</v>
      </c>
    </row>
    <row r="23" spans="1:7" x14ac:dyDescent="0.25">
      <c r="A23" s="15" t="s">
        <v>32</v>
      </c>
      <c r="B23" s="17">
        <f>B22</f>
        <v>41989</v>
      </c>
      <c r="C23" s="15">
        <v>1</v>
      </c>
      <c r="D23" s="16" t="s">
        <v>315</v>
      </c>
      <c r="E23" s="16">
        <v>1</v>
      </c>
      <c r="F23" s="16">
        <v>2</v>
      </c>
      <c r="G23" s="16">
        <v>2</v>
      </c>
    </row>
    <row r="24" spans="1:7" x14ac:dyDescent="0.25">
      <c r="A24" s="15" t="s">
        <v>32</v>
      </c>
      <c r="B24" s="17">
        <f t="shared" ref="B24:B41" si="0">B23</f>
        <v>41989</v>
      </c>
      <c r="C24" s="15">
        <v>1</v>
      </c>
      <c r="D24" s="16" t="s">
        <v>316</v>
      </c>
      <c r="E24" s="16">
        <v>2</v>
      </c>
      <c r="F24" s="16">
        <f>10 * E24 /7</f>
        <v>2.8571428571428572</v>
      </c>
      <c r="G24" s="16">
        <v>2.86</v>
      </c>
    </row>
    <row r="25" spans="1:7" x14ac:dyDescent="0.25">
      <c r="A25" s="15" t="s">
        <v>32</v>
      </c>
      <c r="B25" s="17">
        <f t="shared" si="0"/>
        <v>41989</v>
      </c>
      <c r="C25" s="15">
        <v>1</v>
      </c>
      <c r="D25" s="16" t="s">
        <v>317</v>
      </c>
      <c r="E25" s="16">
        <v>32.299999999999997</v>
      </c>
      <c r="F25" s="16">
        <f>10 * (E25-0.7)/43</f>
        <v>7.3488372093023253</v>
      </c>
      <c r="G25" s="16">
        <v>7.35</v>
      </c>
    </row>
    <row r="26" spans="1:7" x14ac:dyDescent="0.25">
      <c r="A26" s="15" t="s">
        <v>32</v>
      </c>
      <c r="B26" s="17">
        <f t="shared" si="0"/>
        <v>41989</v>
      </c>
      <c r="C26" s="15">
        <v>1</v>
      </c>
      <c r="D26" s="16" t="s">
        <v>318</v>
      </c>
      <c r="E26" s="16">
        <v>4</v>
      </c>
      <c r="F26" s="16">
        <f>10 * E26/7</f>
        <v>5.7142857142857144</v>
      </c>
      <c r="G26" s="16">
        <v>5.71</v>
      </c>
    </row>
    <row r="27" spans="1:7" x14ac:dyDescent="0.25">
      <c r="A27" s="15" t="s">
        <v>32</v>
      </c>
      <c r="B27" s="17">
        <f t="shared" si="0"/>
        <v>41989</v>
      </c>
      <c r="C27" s="15">
        <v>1</v>
      </c>
      <c r="D27" s="16" t="s">
        <v>319</v>
      </c>
      <c r="E27" s="16">
        <v>0</v>
      </c>
      <c r="F27" s="16">
        <v>0</v>
      </c>
      <c r="G27" s="16">
        <v>0</v>
      </c>
    </row>
    <row r="28" spans="1:7" x14ac:dyDescent="0.25">
      <c r="A28" s="15" t="s">
        <v>32</v>
      </c>
      <c r="B28" s="17">
        <f t="shared" si="0"/>
        <v>41989</v>
      </c>
      <c r="C28" s="15">
        <v>1</v>
      </c>
      <c r="D28" s="16" t="s">
        <v>320</v>
      </c>
      <c r="E28" s="16">
        <v>36.799999999999997</v>
      </c>
      <c r="F28" s="15">
        <f>10-(10*(E28-14)/50)</f>
        <v>5.44</v>
      </c>
      <c r="G28" s="16">
        <v>5.44</v>
      </c>
    </row>
    <row r="29" spans="1:7" x14ac:dyDescent="0.25">
      <c r="A29" s="15" t="s">
        <v>32</v>
      </c>
      <c r="B29" s="17">
        <f t="shared" si="0"/>
        <v>41989</v>
      </c>
      <c r="C29" s="15">
        <v>1</v>
      </c>
      <c r="D29" s="16" t="s">
        <v>321</v>
      </c>
      <c r="E29" s="16">
        <v>2.1</v>
      </c>
      <c r="F29" s="16">
        <f>10 * ( LN( E29 + 1) /3.4)</f>
        <v>3.3276532690914724</v>
      </c>
      <c r="G29" s="16">
        <v>3.33</v>
      </c>
    </row>
    <row r="30" spans="1:7" x14ac:dyDescent="0.25">
      <c r="A30" s="15" t="s">
        <v>32</v>
      </c>
      <c r="B30" s="17">
        <f t="shared" si="0"/>
        <v>41989</v>
      </c>
      <c r="C30" s="15">
        <v>1</v>
      </c>
      <c r="D30" s="16" t="s">
        <v>322</v>
      </c>
      <c r="E30" s="16">
        <v>0</v>
      </c>
      <c r="F30" s="16">
        <v>0</v>
      </c>
      <c r="G30" s="16">
        <v>0</v>
      </c>
    </row>
    <row r="31" spans="1:7" x14ac:dyDescent="0.25">
      <c r="A31" s="15" t="s">
        <v>32</v>
      </c>
      <c r="B31" s="17">
        <f t="shared" si="0"/>
        <v>41989</v>
      </c>
      <c r="C31" s="15">
        <v>1</v>
      </c>
      <c r="D31" s="16" t="s">
        <v>323</v>
      </c>
      <c r="E31" s="16">
        <v>5.6</v>
      </c>
      <c r="F31" s="16">
        <f>10-(10*(LN(E31+1)-0.7)/4)</f>
        <v>7.0323258774190505</v>
      </c>
      <c r="G31" s="15">
        <v>6.81</v>
      </c>
    </row>
    <row r="32" spans="1:7" x14ac:dyDescent="0.25">
      <c r="A32" s="15" t="s">
        <v>32</v>
      </c>
      <c r="B32" s="17">
        <f t="shared" si="0"/>
        <v>41989</v>
      </c>
      <c r="C32" s="15">
        <v>2</v>
      </c>
      <c r="D32" s="16" t="s">
        <v>314</v>
      </c>
      <c r="E32" s="16">
        <v>16</v>
      </c>
      <c r="F32" s="16">
        <f>10 * (E32-15)/24</f>
        <v>0.41666666666666669</v>
      </c>
      <c r="G32" s="15">
        <v>0.42</v>
      </c>
    </row>
    <row r="33" spans="1:7" x14ac:dyDescent="0.25">
      <c r="A33" s="15" t="s">
        <v>32</v>
      </c>
      <c r="B33" s="17">
        <f t="shared" si="0"/>
        <v>41989</v>
      </c>
      <c r="C33" s="15">
        <v>2</v>
      </c>
      <c r="D33" s="16" t="s">
        <v>315</v>
      </c>
      <c r="E33" s="16">
        <v>1</v>
      </c>
      <c r="F33" s="16">
        <v>2</v>
      </c>
      <c r="G33" s="16">
        <v>2</v>
      </c>
    </row>
    <row r="34" spans="1:7" x14ac:dyDescent="0.25">
      <c r="A34" s="15" t="s">
        <v>32</v>
      </c>
      <c r="B34" s="17">
        <f t="shared" si="0"/>
        <v>41989</v>
      </c>
      <c r="C34" s="15">
        <v>2</v>
      </c>
      <c r="D34" s="16" t="s">
        <v>316</v>
      </c>
      <c r="E34" s="16">
        <v>2</v>
      </c>
      <c r="F34" s="15">
        <v>2.86</v>
      </c>
      <c r="G34" s="15">
        <v>2.86</v>
      </c>
    </row>
    <row r="35" spans="1:7" x14ac:dyDescent="0.25">
      <c r="A35" s="15" t="s">
        <v>32</v>
      </c>
      <c r="B35" s="17">
        <f t="shared" si="0"/>
        <v>41989</v>
      </c>
      <c r="C35" s="15">
        <v>2</v>
      </c>
      <c r="D35" s="16" t="s">
        <v>317</v>
      </c>
      <c r="E35" s="16">
        <v>26.2</v>
      </c>
      <c r="F35" s="16">
        <f>10 * (E35-0.7)/43</f>
        <v>5.9302325581395348</v>
      </c>
      <c r="G35" s="15">
        <v>5.93</v>
      </c>
    </row>
    <row r="36" spans="1:7" x14ac:dyDescent="0.25">
      <c r="A36" s="15" t="s">
        <v>32</v>
      </c>
      <c r="B36" s="17">
        <f t="shared" si="0"/>
        <v>41989</v>
      </c>
      <c r="C36" s="15">
        <v>2</v>
      </c>
      <c r="D36" s="16" t="s">
        <v>318</v>
      </c>
      <c r="E36" s="16">
        <v>4</v>
      </c>
      <c r="F36" s="15">
        <v>5.71</v>
      </c>
      <c r="G36" s="15">
        <v>5.71</v>
      </c>
    </row>
    <row r="37" spans="1:7" x14ac:dyDescent="0.25">
      <c r="A37" s="15" t="s">
        <v>32</v>
      </c>
      <c r="B37" s="17">
        <f t="shared" si="0"/>
        <v>41989</v>
      </c>
      <c r="C37" s="15">
        <v>2</v>
      </c>
      <c r="D37" s="16" t="s">
        <v>319</v>
      </c>
      <c r="E37" s="16">
        <v>0</v>
      </c>
      <c r="F37" s="16">
        <v>0</v>
      </c>
      <c r="G37" s="16">
        <v>0</v>
      </c>
    </row>
    <row r="38" spans="1:7" x14ac:dyDescent="0.25">
      <c r="A38" s="15" t="s">
        <v>32</v>
      </c>
      <c r="B38" s="17">
        <f t="shared" si="0"/>
        <v>41989</v>
      </c>
      <c r="C38" s="15">
        <v>2</v>
      </c>
      <c r="D38" s="16" t="s">
        <v>320</v>
      </c>
      <c r="E38" s="16">
        <v>39.9</v>
      </c>
      <c r="F38" s="15">
        <f>10-(10*(E38-14)/50)</f>
        <v>4.82</v>
      </c>
      <c r="G38" s="15">
        <v>4.82</v>
      </c>
    </row>
    <row r="39" spans="1:7" x14ac:dyDescent="0.25">
      <c r="A39" s="15" t="s">
        <v>32</v>
      </c>
      <c r="B39" s="17">
        <f t="shared" si="0"/>
        <v>41989</v>
      </c>
      <c r="C39" s="15">
        <v>2</v>
      </c>
      <c r="D39" s="16" t="s">
        <v>321</v>
      </c>
      <c r="E39" s="16">
        <v>2.8</v>
      </c>
      <c r="F39" s="16">
        <f>10 * ( LN( E39 + 1) /3.4)</f>
        <v>3.9264737256833531</v>
      </c>
      <c r="G39" s="15">
        <v>3.93</v>
      </c>
    </row>
    <row r="40" spans="1:7" x14ac:dyDescent="0.25">
      <c r="A40" s="15" t="s">
        <v>32</v>
      </c>
      <c r="B40" s="17">
        <f t="shared" si="0"/>
        <v>41989</v>
      </c>
      <c r="C40" s="15">
        <v>2</v>
      </c>
      <c r="D40" s="16" t="s">
        <v>322</v>
      </c>
      <c r="E40" s="16">
        <v>0</v>
      </c>
      <c r="F40" s="16">
        <v>0</v>
      </c>
      <c r="G40" s="16">
        <v>0</v>
      </c>
    </row>
    <row r="41" spans="1:7" x14ac:dyDescent="0.25">
      <c r="A41" s="15" t="s">
        <v>32</v>
      </c>
      <c r="B41" s="17">
        <f t="shared" si="0"/>
        <v>41989</v>
      </c>
      <c r="C41" s="15">
        <v>2</v>
      </c>
      <c r="D41" s="16" t="s">
        <v>323</v>
      </c>
      <c r="E41" s="16">
        <v>6.3</v>
      </c>
      <c r="F41" s="16">
        <f>10-(10*(LN(E41+1)-0.7)/4)</f>
        <v>6.780314129614136</v>
      </c>
      <c r="G41" s="15">
        <v>6.78</v>
      </c>
    </row>
    <row r="42" spans="1:7" x14ac:dyDescent="0.25">
      <c r="A42" s="15" t="s">
        <v>32</v>
      </c>
      <c r="B42" s="17">
        <v>41746</v>
      </c>
      <c r="C42" s="15">
        <v>1</v>
      </c>
      <c r="D42" s="16" t="s">
        <v>314</v>
      </c>
      <c r="E42" s="16">
        <v>24</v>
      </c>
      <c r="F42" s="16">
        <f>10 * (E42-15)/24</f>
        <v>3.75</v>
      </c>
      <c r="G42" s="16">
        <f t="shared" ref="G42:G61" si="1">F42</f>
        <v>3.75</v>
      </c>
    </row>
    <row r="43" spans="1:7" x14ac:dyDescent="0.25">
      <c r="A43" s="15" t="s">
        <v>32</v>
      </c>
      <c r="B43" s="17">
        <f>B42</f>
        <v>41746</v>
      </c>
      <c r="C43" s="15">
        <v>1</v>
      </c>
      <c r="D43" s="16" t="s">
        <v>315</v>
      </c>
      <c r="E43" s="16">
        <v>1</v>
      </c>
      <c r="F43" s="16">
        <v>2</v>
      </c>
      <c r="G43" s="16">
        <f t="shared" si="1"/>
        <v>2</v>
      </c>
    </row>
    <row r="44" spans="1:7" x14ac:dyDescent="0.25">
      <c r="A44" s="15" t="s">
        <v>32</v>
      </c>
      <c r="B44" s="17">
        <f t="shared" ref="B44:B61" si="2">B43</f>
        <v>41746</v>
      </c>
      <c r="C44" s="15">
        <v>1</v>
      </c>
      <c r="D44" s="16" t="s">
        <v>316</v>
      </c>
      <c r="E44" s="16">
        <v>2</v>
      </c>
      <c r="F44" s="16">
        <f>10 * E44 /7</f>
        <v>2.8571428571428572</v>
      </c>
      <c r="G44" s="16">
        <f t="shared" si="1"/>
        <v>2.8571428571428572</v>
      </c>
    </row>
    <row r="45" spans="1:7" x14ac:dyDescent="0.25">
      <c r="A45" s="15" t="s">
        <v>32</v>
      </c>
      <c r="B45" s="17">
        <f t="shared" si="2"/>
        <v>41746</v>
      </c>
      <c r="C45" s="15">
        <v>1</v>
      </c>
      <c r="D45" s="16" t="s">
        <v>317</v>
      </c>
      <c r="E45" s="16">
        <v>29.5</v>
      </c>
      <c r="F45" s="16">
        <f>10 * (E45-0.7)/43</f>
        <v>6.6976744186046515</v>
      </c>
      <c r="G45" s="16">
        <f t="shared" si="1"/>
        <v>6.6976744186046515</v>
      </c>
    </row>
    <row r="46" spans="1:7" x14ac:dyDescent="0.25">
      <c r="A46" s="15" t="s">
        <v>32</v>
      </c>
      <c r="B46" s="17">
        <f t="shared" si="2"/>
        <v>41746</v>
      </c>
      <c r="C46" s="15">
        <v>1</v>
      </c>
      <c r="D46" s="16" t="s">
        <v>318</v>
      </c>
      <c r="E46" s="16">
        <v>4</v>
      </c>
      <c r="F46" s="16">
        <f>10 * E46/7</f>
        <v>5.7142857142857144</v>
      </c>
      <c r="G46" s="16">
        <f t="shared" si="1"/>
        <v>5.7142857142857144</v>
      </c>
    </row>
    <row r="47" spans="1:7" x14ac:dyDescent="0.25">
      <c r="A47" s="15" t="s">
        <v>32</v>
      </c>
      <c r="B47" s="17">
        <f t="shared" si="2"/>
        <v>41746</v>
      </c>
      <c r="C47" s="15">
        <v>1</v>
      </c>
      <c r="D47" s="16" t="s">
        <v>319</v>
      </c>
      <c r="E47" s="16">
        <v>1</v>
      </c>
      <c r="F47" s="16">
        <f>10 * E47/3</f>
        <v>3.3333333333333335</v>
      </c>
      <c r="G47" s="16">
        <f t="shared" si="1"/>
        <v>3.3333333333333335</v>
      </c>
    </row>
    <row r="48" spans="1:7" x14ac:dyDescent="0.25">
      <c r="A48" s="15" t="s">
        <v>32</v>
      </c>
      <c r="B48" s="17">
        <f t="shared" si="2"/>
        <v>41746</v>
      </c>
      <c r="C48" s="15">
        <v>1</v>
      </c>
      <c r="D48" s="16" t="s">
        <v>320</v>
      </c>
      <c r="E48" s="16">
        <v>19.5</v>
      </c>
      <c r="F48" s="16">
        <f>10-(10*(E48-14)/50)</f>
        <v>8.9</v>
      </c>
      <c r="G48" s="16">
        <f t="shared" si="1"/>
        <v>8.9</v>
      </c>
    </row>
    <row r="49" spans="1:7" x14ac:dyDescent="0.25">
      <c r="A49" s="15" t="s">
        <v>32</v>
      </c>
      <c r="B49" s="17">
        <f t="shared" si="2"/>
        <v>41746</v>
      </c>
      <c r="C49" s="15">
        <v>1</v>
      </c>
      <c r="D49" s="16" t="s">
        <v>321</v>
      </c>
      <c r="E49" s="16">
        <v>9.4</v>
      </c>
      <c r="F49" s="16">
        <f>10 * ( LN( E49 + 1) /3.4)</f>
        <v>6.8876641357274329</v>
      </c>
      <c r="G49" s="16">
        <f t="shared" si="1"/>
        <v>6.8876641357274329</v>
      </c>
    </row>
    <row r="50" spans="1:7" x14ac:dyDescent="0.25">
      <c r="A50" s="15" t="s">
        <v>32</v>
      </c>
      <c r="B50" s="17">
        <f t="shared" si="2"/>
        <v>41746</v>
      </c>
      <c r="C50" s="15">
        <v>1</v>
      </c>
      <c r="D50" s="16" t="s">
        <v>322</v>
      </c>
      <c r="E50" s="16">
        <v>0</v>
      </c>
      <c r="F50" s="16">
        <v>0</v>
      </c>
      <c r="G50" s="16">
        <f t="shared" si="1"/>
        <v>0</v>
      </c>
    </row>
    <row r="51" spans="1:7" x14ac:dyDescent="0.25">
      <c r="A51" s="15" t="s">
        <v>32</v>
      </c>
      <c r="B51" s="17">
        <f t="shared" si="2"/>
        <v>41746</v>
      </c>
      <c r="C51" s="15">
        <v>1</v>
      </c>
      <c r="D51" s="16" t="s">
        <v>323</v>
      </c>
      <c r="E51" s="16">
        <v>6.7</v>
      </c>
      <c r="F51" s="16">
        <f>10-(10*(LN(E51+1)-0.7)/4)</f>
        <v>6.6469491778509049</v>
      </c>
      <c r="G51" s="16">
        <f t="shared" si="1"/>
        <v>6.6469491778509049</v>
      </c>
    </row>
    <row r="52" spans="1:7" x14ac:dyDescent="0.25">
      <c r="A52" s="15" t="s">
        <v>32</v>
      </c>
      <c r="B52" s="17">
        <f t="shared" si="2"/>
        <v>41746</v>
      </c>
      <c r="C52" s="15">
        <v>2</v>
      </c>
      <c r="D52" s="16" t="s">
        <v>314</v>
      </c>
      <c r="E52" s="16">
        <v>25</v>
      </c>
      <c r="F52" s="16">
        <f>10 * (E52-15)/24</f>
        <v>4.166666666666667</v>
      </c>
      <c r="G52" s="16">
        <f t="shared" si="1"/>
        <v>4.166666666666667</v>
      </c>
    </row>
    <row r="53" spans="1:7" x14ac:dyDescent="0.25">
      <c r="A53" s="15" t="s">
        <v>32</v>
      </c>
      <c r="B53" s="17">
        <f t="shared" si="2"/>
        <v>41746</v>
      </c>
      <c r="C53" s="15">
        <v>2</v>
      </c>
      <c r="D53" s="16" t="s">
        <v>315</v>
      </c>
      <c r="E53" s="16">
        <v>1</v>
      </c>
      <c r="F53" s="16">
        <v>2</v>
      </c>
      <c r="G53" s="16">
        <f t="shared" si="1"/>
        <v>2</v>
      </c>
    </row>
    <row r="54" spans="1:7" x14ac:dyDescent="0.25">
      <c r="A54" s="15" t="s">
        <v>32</v>
      </c>
      <c r="B54" s="17">
        <f t="shared" si="2"/>
        <v>41746</v>
      </c>
      <c r="C54" s="15">
        <v>2</v>
      </c>
      <c r="D54" s="16" t="s">
        <v>316</v>
      </c>
      <c r="E54" s="16">
        <v>2</v>
      </c>
      <c r="F54" s="16">
        <f>10 * E54 /7</f>
        <v>2.8571428571428572</v>
      </c>
      <c r="G54" s="16">
        <f t="shared" si="1"/>
        <v>2.8571428571428572</v>
      </c>
    </row>
    <row r="55" spans="1:7" x14ac:dyDescent="0.25">
      <c r="A55" s="15" t="s">
        <v>32</v>
      </c>
      <c r="B55" s="17">
        <f t="shared" si="2"/>
        <v>41746</v>
      </c>
      <c r="C55" s="15">
        <v>2</v>
      </c>
      <c r="D55" s="16" t="s">
        <v>317</v>
      </c>
      <c r="E55" s="16">
        <v>29.4</v>
      </c>
      <c r="F55" s="16">
        <f>10 * (E55-0.7)/43</f>
        <v>6.6744186046511631</v>
      </c>
      <c r="G55" s="16">
        <f t="shared" si="1"/>
        <v>6.6744186046511631</v>
      </c>
    </row>
    <row r="56" spans="1:7" x14ac:dyDescent="0.25">
      <c r="A56" s="15" t="s">
        <v>32</v>
      </c>
      <c r="B56" s="17">
        <f t="shared" si="2"/>
        <v>41746</v>
      </c>
      <c r="C56" s="15">
        <v>2</v>
      </c>
      <c r="D56" s="16" t="s">
        <v>318</v>
      </c>
      <c r="E56" s="16">
        <v>4</v>
      </c>
      <c r="F56" s="16">
        <f>10 * E56/7</f>
        <v>5.7142857142857144</v>
      </c>
      <c r="G56" s="16">
        <f t="shared" si="1"/>
        <v>5.7142857142857144</v>
      </c>
    </row>
    <row r="57" spans="1:7" x14ac:dyDescent="0.25">
      <c r="A57" s="15" t="s">
        <v>32</v>
      </c>
      <c r="B57" s="17">
        <f t="shared" si="2"/>
        <v>41746</v>
      </c>
      <c r="C57" s="15">
        <v>2</v>
      </c>
      <c r="D57" s="16" t="s">
        <v>319</v>
      </c>
      <c r="E57" s="16">
        <v>1</v>
      </c>
      <c r="F57" s="16">
        <f>10 * E57/3</f>
        <v>3.3333333333333335</v>
      </c>
      <c r="G57" s="16">
        <f t="shared" si="1"/>
        <v>3.3333333333333335</v>
      </c>
    </row>
    <row r="58" spans="1:7" x14ac:dyDescent="0.25">
      <c r="A58" s="15" t="s">
        <v>32</v>
      </c>
      <c r="B58" s="17">
        <f t="shared" si="2"/>
        <v>41746</v>
      </c>
      <c r="C58" s="15">
        <v>2</v>
      </c>
      <c r="D58" s="16" t="s">
        <v>320</v>
      </c>
      <c r="E58" s="16">
        <v>24.8</v>
      </c>
      <c r="F58" s="16">
        <f>10-(10*(E58-14)/50)</f>
        <v>7.84</v>
      </c>
      <c r="G58" s="16">
        <f t="shared" si="1"/>
        <v>7.84</v>
      </c>
    </row>
    <row r="59" spans="1:7" x14ac:dyDescent="0.25">
      <c r="A59" s="15" t="s">
        <v>32</v>
      </c>
      <c r="B59" s="17">
        <f t="shared" si="2"/>
        <v>41746</v>
      </c>
      <c r="C59" s="15">
        <v>2</v>
      </c>
      <c r="D59" s="16" t="s">
        <v>321</v>
      </c>
      <c r="E59" s="16">
        <v>3.3</v>
      </c>
      <c r="F59" s="16">
        <f>10 * ( LN( E59 + 1) /3.4)</f>
        <v>4.290044184410343</v>
      </c>
      <c r="G59" s="16">
        <f t="shared" si="1"/>
        <v>4.290044184410343</v>
      </c>
    </row>
    <row r="60" spans="1:7" x14ac:dyDescent="0.25">
      <c r="A60" s="15" t="s">
        <v>32</v>
      </c>
      <c r="B60" s="17">
        <f t="shared" si="2"/>
        <v>41746</v>
      </c>
      <c r="C60" s="15">
        <v>2</v>
      </c>
      <c r="D60" s="16" t="s">
        <v>322</v>
      </c>
      <c r="E60" s="16">
        <v>0</v>
      </c>
      <c r="F60" s="16">
        <v>0</v>
      </c>
      <c r="G60" s="16">
        <f t="shared" si="1"/>
        <v>0</v>
      </c>
    </row>
    <row r="61" spans="1:7" x14ac:dyDescent="0.25">
      <c r="A61" s="15" t="s">
        <v>32</v>
      </c>
      <c r="B61" s="17">
        <f t="shared" si="2"/>
        <v>41746</v>
      </c>
      <c r="C61" s="15">
        <v>2</v>
      </c>
      <c r="D61" s="16" t="s">
        <v>323</v>
      </c>
      <c r="E61" s="16">
        <v>11.1</v>
      </c>
      <c r="F61" s="16">
        <f>10-(10*(LN(E61+1)-0.7)/4)</f>
        <v>5.516986368493261</v>
      </c>
      <c r="G61" s="16">
        <f t="shared" si="1"/>
        <v>5.516986368493261</v>
      </c>
    </row>
    <row r="62" spans="1:7" x14ac:dyDescent="0.25">
      <c r="A62" s="15" t="s">
        <v>36</v>
      </c>
      <c r="B62" s="17">
        <v>41757</v>
      </c>
      <c r="C62" s="15">
        <v>1</v>
      </c>
      <c r="D62" s="16" t="s">
        <v>314</v>
      </c>
      <c r="E62" s="16">
        <v>22</v>
      </c>
      <c r="F62" s="16">
        <f>10 * (E62-15)/24</f>
        <v>2.9166666666666665</v>
      </c>
      <c r="G62" s="15">
        <v>2.92</v>
      </c>
    </row>
    <row r="63" spans="1:7" x14ac:dyDescent="0.25">
      <c r="A63" s="15" t="s">
        <v>36</v>
      </c>
      <c r="B63" s="17">
        <f>B62</f>
        <v>41757</v>
      </c>
      <c r="C63" s="15">
        <v>1</v>
      </c>
      <c r="D63" s="16" t="s">
        <v>315</v>
      </c>
      <c r="E63" s="16">
        <v>0</v>
      </c>
      <c r="F63" s="16">
        <v>0</v>
      </c>
      <c r="G63" s="16">
        <v>0</v>
      </c>
    </row>
    <row r="64" spans="1:7" x14ac:dyDescent="0.25">
      <c r="A64" s="15" t="s">
        <v>36</v>
      </c>
      <c r="B64" s="17">
        <f t="shared" ref="B64:B81" si="3">B63</f>
        <v>41757</v>
      </c>
      <c r="C64" s="15">
        <v>1</v>
      </c>
      <c r="D64" s="16" t="s">
        <v>316</v>
      </c>
      <c r="E64" s="16">
        <v>1</v>
      </c>
      <c r="F64" s="16">
        <f>10 * E64 /7</f>
        <v>1.4285714285714286</v>
      </c>
      <c r="G64" s="15">
        <v>1.43</v>
      </c>
    </row>
    <row r="65" spans="1:7" x14ac:dyDescent="0.25">
      <c r="A65" s="15" t="s">
        <v>36</v>
      </c>
      <c r="B65" s="17">
        <f t="shared" si="3"/>
        <v>41757</v>
      </c>
      <c r="C65" s="15">
        <v>1</v>
      </c>
      <c r="D65" s="16" t="s">
        <v>317</v>
      </c>
      <c r="E65" s="16">
        <v>24.2</v>
      </c>
      <c r="F65" s="16">
        <f>10 * (E65-0.7)/43</f>
        <v>5.4651162790697674</v>
      </c>
      <c r="G65" s="15">
        <v>5.47</v>
      </c>
    </row>
    <row r="66" spans="1:7" x14ac:dyDescent="0.25">
      <c r="A66" s="15" t="s">
        <v>36</v>
      </c>
      <c r="B66" s="17">
        <f t="shared" si="3"/>
        <v>41757</v>
      </c>
      <c r="C66" s="15">
        <v>1</v>
      </c>
      <c r="D66" s="16" t="s">
        <v>318</v>
      </c>
      <c r="E66" s="16">
        <v>1</v>
      </c>
      <c r="F66" s="16">
        <f>10 * E66/7</f>
        <v>1.4285714285714286</v>
      </c>
      <c r="G66" s="15">
        <v>1.43</v>
      </c>
    </row>
    <row r="67" spans="1:7" x14ac:dyDescent="0.25">
      <c r="A67" s="15" t="s">
        <v>36</v>
      </c>
      <c r="B67" s="17">
        <f t="shared" si="3"/>
        <v>41757</v>
      </c>
      <c r="C67" s="15">
        <v>1</v>
      </c>
      <c r="D67" s="16" t="s">
        <v>319</v>
      </c>
      <c r="E67" s="16">
        <v>1</v>
      </c>
      <c r="F67" s="16">
        <f>10 * E67/3</f>
        <v>3.3333333333333335</v>
      </c>
      <c r="G67" s="15">
        <v>3.33</v>
      </c>
    </row>
    <row r="68" spans="1:7" x14ac:dyDescent="0.25">
      <c r="A68" s="15" t="s">
        <v>36</v>
      </c>
      <c r="B68" s="17">
        <f t="shared" si="3"/>
        <v>41757</v>
      </c>
      <c r="C68" s="15">
        <v>1</v>
      </c>
      <c r="D68" s="16" t="s">
        <v>320</v>
      </c>
      <c r="E68" s="16">
        <v>25.2</v>
      </c>
      <c r="F68" s="15">
        <f>10-(10*(E68-14)/50)</f>
        <v>7.76</v>
      </c>
      <c r="G68" s="15">
        <v>7.76</v>
      </c>
    </row>
    <row r="69" spans="1:7" x14ac:dyDescent="0.25">
      <c r="A69" s="15" t="s">
        <v>36</v>
      </c>
      <c r="B69" s="17">
        <f t="shared" si="3"/>
        <v>41757</v>
      </c>
      <c r="C69" s="15">
        <v>1</v>
      </c>
      <c r="D69" s="16" t="s">
        <v>321</v>
      </c>
      <c r="E69" s="16">
        <v>9.4</v>
      </c>
      <c r="F69" s="16">
        <f>10 * ( LN( E69 + 1) /3.4)</f>
        <v>6.8876641357274329</v>
      </c>
      <c r="G69" s="15">
        <v>3.13</v>
      </c>
    </row>
    <row r="70" spans="1:7" x14ac:dyDescent="0.25">
      <c r="A70" s="15" t="s">
        <v>36</v>
      </c>
      <c r="B70" s="17">
        <f t="shared" si="3"/>
        <v>41757</v>
      </c>
      <c r="C70" s="15">
        <v>1</v>
      </c>
      <c r="D70" s="16" t="s">
        <v>322</v>
      </c>
      <c r="E70" s="16">
        <v>0</v>
      </c>
      <c r="F70" s="16">
        <v>0</v>
      </c>
      <c r="G70" s="16">
        <v>0</v>
      </c>
    </row>
    <row r="71" spans="1:7" x14ac:dyDescent="0.25">
      <c r="A71" s="15" t="s">
        <v>36</v>
      </c>
      <c r="B71" s="17">
        <f t="shared" si="3"/>
        <v>41757</v>
      </c>
      <c r="C71" s="15">
        <v>1</v>
      </c>
      <c r="D71" s="16" t="s">
        <v>323</v>
      </c>
      <c r="E71" s="16">
        <v>43.4</v>
      </c>
      <c r="F71" s="16">
        <f>10-(10*(LN(E71+1)-0.7)/4)</f>
        <v>2.2669013264045512</v>
      </c>
      <c r="G71" s="16">
        <v>2.2999999999999998</v>
      </c>
    </row>
    <row r="72" spans="1:7" x14ac:dyDescent="0.25">
      <c r="A72" s="15" t="s">
        <v>36</v>
      </c>
      <c r="B72" s="17">
        <f t="shared" si="3"/>
        <v>41757</v>
      </c>
      <c r="C72" s="15">
        <v>2</v>
      </c>
      <c r="D72" s="16" t="s">
        <v>314</v>
      </c>
      <c r="E72" s="16">
        <v>21</v>
      </c>
      <c r="F72" s="16">
        <f>10 * (E72-15)/24</f>
        <v>2.5</v>
      </c>
      <c r="G72" s="16">
        <v>2.5</v>
      </c>
    </row>
    <row r="73" spans="1:7" x14ac:dyDescent="0.25">
      <c r="A73" s="15" t="s">
        <v>36</v>
      </c>
      <c r="B73" s="17">
        <f t="shared" si="3"/>
        <v>41757</v>
      </c>
      <c r="C73" s="15">
        <v>2</v>
      </c>
      <c r="D73" s="16" t="s">
        <v>315</v>
      </c>
      <c r="E73" s="16">
        <v>0</v>
      </c>
      <c r="F73" s="16">
        <v>0</v>
      </c>
      <c r="G73" s="16">
        <v>0</v>
      </c>
    </row>
    <row r="74" spans="1:7" x14ac:dyDescent="0.25">
      <c r="A74" s="15" t="s">
        <v>36</v>
      </c>
      <c r="B74" s="17">
        <f t="shared" si="3"/>
        <v>41757</v>
      </c>
      <c r="C74" s="15">
        <v>2</v>
      </c>
      <c r="D74" s="16" t="s">
        <v>316</v>
      </c>
      <c r="E74" s="16">
        <v>2</v>
      </c>
      <c r="F74" s="16">
        <f>10 * E74 /7</f>
        <v>2.8571428571428572</v>
      </c>
      <c r="G74" s="15">
        <v>2.86</v>
      </c>
    </row>
    <row r="75" spans="1:7" x14ac:dyDescent="0.25">
      <c r="A75" s="15" t="s">
        <v>36</v>
      </c>
      <c r="B75" s="17">
        <f t="shared" si="3"/>
        <v>41757</v>
      </c>
      <c r="C75" s="15">
        <v>2</v>
      </c>
      <c r="D75" s="16" t="s">
        <v>317</v>
      </c>
      <c r="E75" s="16">
        <v>22.9</v>
      </c>
      <c r="F75" s="16">
        <f>10 * (E75-0.7)/43</f>
        <v>5.1627906976744189</v>
      </c>
      <c r="G75" s="15">
        <v>5.16</v>
      </c>
    </row>
    <row r="76" spans="1:7" x14ac:dyDescent="0.25">
      <c r="A76" s="15" t="s">
        <v>36</v>
      </c>
      <c r="B76" s="17">
        <f t="shared" si="3"/>
        <v>41757</v>
      </c>
      <c r="C76" s="15">
        <v>2</v>
      </c>
      <c r="D76" s="16" t="s">
        <v>318</v>
      </c>
      <c r="E76" s="16">
        <v>3</v>
      </c>
      <c r="F76" s="16">
        <f>10 * E76/7</f>
        <v>4.2857142857142856</v>
      </c>
      <c r="G76" s="15">
        <v>4.29</v>
      </c>
    </row>
    <row r="77" spans="1:7" x14ac:dyDescent="0.25">
      <c r="A77" s="15" t="s">
        <v>36</v>
      </c>
      <c r="B77" s="17">
        <f t="shared" si="3"/>
        <v>41757</v>
      </c>
      <c r="C77" s="15">
        <v>2</v>
      </c>
      <c r="D77" s="16" t="s">
        <v>319</v>
      </c>
      <c r="E77" s="16">
        <v>1</v>
      </c>
      <c r="F77" s="16">
        <f>10 * E77/3</f>
        <v>3.3333333333333335</v>
      </c>
      <c r="G77" s="15">
        <v>3.33</v>
      </c>
    </row>
    <row r="78" spans="1:7" x14ac:dyDescent="0.25">
      <c r="A78" s="15" t="s">
        <v>36</v>
      </c>
      <c r="B78" s="17">
        <f t="shared" si="3"/>
        <v>41757</v>
      </c>
      <c r="C78" s="15">
        <v>2</v>
      </c>
      <c r="D78" s="16" t="s">
        <v>320</v>
      </c>
      <c r="E78" s="16">
        <v>26.8</v>
      </c>
      <c r="F78" s="15">
        <f>10-(10*(E78-14)/50)</f>
        <v>7.4399999999999995</v>
      </c>
      <c r="G78" s="15">
        <v>7.44</v>
      </c>
    </row>
    <row r="79" spans="1:7" x14ac:dyDescent="0.25">
      <c r="A79" s="15" t="s">
        <v>36</v>
      </c>
      <c r="B79" s="17">
        <f t="shared" si="3"/>
        <v>41757</v>
      </c>
      <c r="C79" s="15">
        <v>2</v>
      </c>
      <c r="D79" s="16" t="s">
        <v>321</v>
      </c>
      <c r="E79" s="15">
        <v>0.64</v>
      </c>
      <c r="F79" s="16">
        <f>10 * ( LN( E79 + 1) /3.4)</f>
        <v>1.4549889465767856</v>
      </c>
      <c r="G79" s="15">
        <v>1.45</v>
      </c>
    </row>
    <row r="80" spans="1:7" x14ac:dyDescent="0.25">
      <c r="A80" s="15" t="s">
        <v>36</v>
      </c>
      <c r="B80" s="17">
        <f t="shared" si="3"/>
        <v>41757</v>
      </c>
      <c r="C80" s="15">
        <v>2</v>
      </c>
      <c r="D80" s="16" t="s">
        <v>322</v>
      </c>
      <c r="E80" s="16">
        <v>0</v>
      </c>
      <c r="F80" s="16">
        <v>0</v>
      </c>
      <c r="G80" s="16">
        <v>0</v>
      </c>
    </row>
    <row r="81" spans="1:7" x14ac:dyDescent="0.25">
      <c r="A81" s="15" t="s">
        <v>36</v>
      </c>
      <c r="B81" s="17">
        <f t="shared" si="3"/>
        <v>41757</v>
      </c>
      <c r="C81" s="15">
        <v>2</v>
      </c>
      <c r="D81" s="16" t="s">
        <v>323</v>
      </c>
      <c r="E81" s="16">
        <v>38.799999999999997</v>
      </c>
      <c r="F81" s="16">
        <f>10-(10*(LN(E81+1)-0.7)/4)</f>
        <v>2.540332719274021</v>
      </c>
      <c r="G81" s="15">
        <v>2.54</v>
      </c>
    </row>
    <row r="82" spans="1:7" x14ac:dyDescent="0.25">
      <c r="A82" s="15" t="s">
        <v>36</v>
      </c>
      <c r="B82" s="17">
        <v>41946</v>
      </c>
      <c r="C82" s="15">
        <v>1</v>
      </c>
      <c r="D82" s="16" t="s">
        <v>314</v>
      </c>
      <c r="E82" s="16">
        <v>17</v>
      </c>
      <c r="F82" s="16">
        <f>10 * (E82-15)/24</f>
        <v>0.83333333333333337</v>
      </c>
      <c r="G82" s="15">
        <v>0.83</v>
      </c>
    </row>
    <row r="83" spans="1:7" x14ac:dyDescent="0.25">
      <c r="A83" s="15" t="s">
        <v>36</v>
      </c>
      <c r="B83" s="17">
        <f>B82</f>
        <v>41946</v>
      </c>
      <c r="C83" s="15">
        <v>1</v>
      </c>
      <c r="D83" s="16" t="s">
        <v>315</v>
      </c>
      <c r="E83" s="16">
        <v>0</v>
      </c>
      <c r="F83" s="16">
        <v>0</v>
      </c>
      <c r="G83" s="16">
        <v>0</v>
      </c>
    </row>
    <row r="84" spans="1:7" x14ac:dyDescent="0.25">
      <c r="A84" s="15" t="s">
        <v>36</v>
      </c>
      <c r="B84" s="17">
        <f t="shared" ref="B84:B101" si="4">B83</f>
        <v>41946</v>
      </c>
      <c r="C84" s="15">
        <v>1</v>
      </c>
      <c r="D84" s="16" t="s">
        <v>316</v>
      </c>
      <c r="E84" s="16">
        <v>3</v>
      </c>
      <c r="F84" s="16">
        <f>10 * E84 /7</f>
        <v>4.2857142857142856</v>
      </c>
      <c r="G84" s="15">
        <v>4.29</v>
      </c>
    </row>
    <row r="85" spans="1:7" x14ac:dyDescent="0.25">
      <c r="A85" s="15" t="s">
        <v>36</v>
      </c>
      <c r="B85" s="17">
        <f t="shared" si="4"/>
        <v>41946</v>
      </c>
      <c r="C85" s="15">
        <v>1</v>
      </c>
      <c r="D85" s="16" t="s">
        <v>317</v>
      </c>
      <c r="E85" s="16">
        <v>16.600000000000001</v>
      </c>
      <c r="F85" s="16">
        <f>10 * (E85-0.7)/43</f>
        <v>3.697674418604652</v>
      </c>
      <c r="G85" s="15">
        <v>3.7</v>
      </c>
    </row>
    <row r="86" spans="1:7" x14ac:dyDescent="0.25">
      <c r="A86" s="15" t="s">
        <v>36</v>
      </c>
      <c r="B86" s="17">
        <f t="shared" si="4"/>
        <v>41946</v>
      </c>
      <c r="C86" s="15">
        <v>1</v>
      </c>
      <c r="D86" s="16" t="s">
        <v>318</v>
      </c>
      <c r="E86" s="16">
        <v>4</v>
      </c>
      <c r="F86" s="16">
        <f>10 * E86/7</f>
        <v>5.7142857142857144</v>
      </c>
      <c r="G86" s="15">
        <v>5.71</v>
      </c>
    </row>
    <row r="87" spans="1:7" x14ac:dyDescent="0.25">
      <c r="A87" s="15" t="s">
        <v>36</v>
      </c>
      <c r="B87" s="17">
        <f t="shared" si="4"/>
        <v>41946</v>
      </c>
      <c r="C87" s="15">
        <v>1</v>
      </c>
      <c r="D87" s="16" t="s">
        <v>319</v>
      </c>
      <c r="E87" s="16">
        <v>1</v>
      </c>
      <c r="F87" s="16">
        <f>10 * E87/3</f>
        <v>3.3333333333333335</v>
      </c>
      <c r="G87" s="15">
        <v>3.33</v>
      </c>
    </row>
    <row r="88" spans="1:7" x14ac:dyDescent="0.25">
      <c r="A88" s="15" t="s">
        <v>36</v>
      </c>
      <c r="B88" s="17">
        <f t="shared" si="4"/>
        <v>41946</v>
      </c>
      <c r="C88" s="15">
        <v>1</v>
      </c>
      <c r="D88" s="16" t="s">
        <v>320</v>
      </c>
      <c r="E88" s="16">
        <v>37.200000000000003</v>
      </c>
      <c r="F88" s="15">
        <f>10-(10*(E88-14)/50)</f>
        <v>5.3599999999999994</v>
      </c>
      <c r="G88" s="15">
        <v>5.36</v>
      </c>
    </row>
    <row r="89" spans="1:7" x14ac:dyDescent="0.25">
      <c r="A89" s="15" t="s">
        <v>36</v>
      </c>
      <c r="B89" s="17">
        <f t="shared" si="4"/>
        <v>41946</v>
      </c>
      <c r="C89" s="15">
        <v>1</v>
      </c>
      <c r="D89" s="16" t="s">
        <v>321</v>
      </c>
      <c r="E89" s="16">
        <v>1.4</v>
      </c>
      <c r="F89" s="16">
        <f>10 * ( LN( E89 + 1) /3.4)</f>
        <v>2.5749080510408815</v>
      </c>
      <c r="G89" s="15">
        <v>2.57</v>
      </c>
    </row>
    <row r="90" spans="1:7" x14ac:dyDescent="0.25">
      <c r="A90" s="15" t="s">
        <v>36</v>
      </c>
      <c r="B90" s="17">
        <f t="shared" si="4"/>
        <v>41946</v>
      </c>
      <c r="C90" s="15">
        <v>1</v>
      </c>
      <c r="D90" s="16" t="s">
        <v>322</v>
      </c>
      <c r="E90" s="16">
        <v>0</v>
      </c>
      <c r="F90" s="16">
        <v>0</v>
      </c>
      <c r="G90" s="16">
        <v>0</v>
      </c>
    </row>
    <row r="91" spans="1:7" x14ac:dyDescent="0.25">
      <c r="A91" s="15" t="s">
        <v>36</v>
      </c>
      <c r="B91" s="17">
        <f t="shared" si="4"/>
        <v>41946</v>
      </c>
      <c r="C91" s="15">
        <v>1</v>
      </c>
      <c r="D91" s="16" t="s">
        <v>323</v>
      </c>
      <c r="E91" s="16">
        <v>12.4</v>
      </c>
      <c r="F91" s="16">
        <f>10-(10*(LN(E91+1)-0.7)/4)</f>
        <v>5.2618632326078361</v>
      </c>
      <c r="G91" s="15">
        <v>5.38</v>
      </c>
    </row>
    <row r="92" spans="1:7" x14ac:dyDescent="0.25">
      <c r="A92" s="15" t="s">
        <v>36</v>
      </c>
      <c r="B92" s="17">
        <f t="shared" si="4"/>
        <v>41946</v>
      </c>
      <c r="C92" s="15">
        <v>2</v>
      </c>
      <c r="D92" s="16" t="s">
        <v>314</v>
      </c>
      <c r="E92" s="16">
        <v>26</v>
      </c>
      <c r="F92" s="16">
        <f>10 * (E92-15)/24</f>
        <v>4.583333333333333</v>
      </c>
      <c r="G92" s="15">
        <v>4.58</v>
      </c>
    </row>
    <row r="93" spans="1:7" x14ac:dyDescent="0.25">
      <c r="A93" s="15" t="s">
        <v>36</v>
      </c>
      <c r="B93" s="17">
        <f t="shared" si="4"/>
        <v>41946</v>
      </c>
      <c r="C93" s="15">
        <v>2</v>
      </c>
      <c r="D93" s="16" t="s">
        <v>315</v>
      </c>
      <c r="E93" s="16">
        <v>1</v>
      </c>
      <c r="F93" s="16">
        <v>2</v>
      </c>
      <c r="G93" s="16">
        <v>2</v>
      </c>
    </row>
    <row r="94" spans="1:7" x14ac:dyDescent="0.25">
      <c r="A94" s="15" t="s">
        <v>36</v>
      </c>
      <c r="B94" s="17">
        <f t="shared" si="4"/>
        <v>41946</v>
      </c>
      <c r="C94" s="15">
        <v>2</v>
      </c>
      <c r="D94" s="16" t="s">
        <v>316</v>
      </c>
      <c r="E94" s="16">
        <v>4</v>
      </c>
      <c r="F94" s="16">
        <f>10 * E94 /7</f>
        <v>5.7142857142857144</v>
      </c>
      <c r="G94" s="15">
        <v>5.71</v>
      </c>
    </row>
    <row r="95" spans="1:7" x14ac:dyDescent="0.25">
      <c r="A95" s="15" t="s">
        <v>36</v>
      </c>
      <c r="B95" s="17">
        <f t="shared" si="4"/>
        <v>41946</v>
      </c>
      <c r="C95" s="15">
        <v>2</v>
      </c>
      <c r="D95" s="16" t="s">
        <v>317</v>
      </c>
      <c r="E95" s="16">
        <v>13.7</v>
      </c>
      <c r="F95" s="16">
        <f>10 * (E95-0.7)/43</f>
        <v>3.0232558139534884</v>
      </c>
      <c r="G95" s="15">
        <v>2.72</v>
      </c>
    </row>
    <row r="96" spans="1:7" x14ac:dyDescent="0.25">
      <c r="A96" s="15" t="s">
        <v>36</v>
      </c>
      <c r="B96" s="17">
        <f t="shared" si="4"/>
        <v>41946</v>
      </c>
      <c r="C96" s="15">
        <v>2</v>
      </c>
      <c r="D96" s="16" t="s">
        <v>318</v>
      </c>
      <c r="E96" s="16">
        <v>4</v>
      </c>
      <c r="F96" s="16">
        <f>10 * E96/7</f>
        <v>5.7142857142857144</v>
      </c>
      <c r="G96" s="15">
        <v>7.14</v>
      </c>
    </row>
    <row r="97" spans="1:7" x14ac:dyDescent="0.25">
      <c r="A97" s="15" t="s">
        <v>36</v>
      </c>
      <c r="B97" s="17">
        <f t="shared" si="4"/>
        <v>41946</v>
      </c>
      <c r="C97" s="15">
        <v>2</v>
      </c>
      <c r="D97" s="16" t="s">
        <v>319</v>
      </c>
      <c r="E97" s="16">
        <v>1</v>
      </c>
      <c r="F97" s="16">
        <f>10 * E97/3</f>
        <v>3.3333333333333335</v>
      </c>
      <c r="G97" s="15">
        <v>3.33</v>
      </c>
    </row>
    <row r="98" spans="1:7" x14ac:dyDescent="0.25">
      <c r="A98" s="15" t="s">
        <v>36</v>
      </c>
      <c r="B98" s="17">
        <f t="shared" si="4"/>
        <v>41946</v>
      </c>
      <c r="C98" s="15">
        <v>2</v>
      </c>
      <c r="D98" s="16" t="s">
        <v>320</v>
      </c>
      <c r="E98" s="16">
        <v>25.5</v>
      </c>
      <c r="F98" s="16">
        <f>10-(10*(E98-14)/50)</f>
        <v>7.7</v>
      </c>
      <c r="G98" s="16">
        <v>7.7</v>
      </c>
    </row>
    <row r="99" spans="1:7" x14ac:dyDescent="0.25">
      <c r="A99" s="15" t="s">
        <v>36</v>
      </c>
      <c r="B99" s="17">
        <f t="shared" si="4"/>
        <v>41946</v>
      </c>
      <c r="C99" s="15">
        <v>2</v>
      </c>
      <c r="D99" s="16" t="s">
        <v>321</v>
      </c>
      <c r="E99" s="16">
        <v>2.1</v>
      </c>
      <c r="F99" s="16">
        <f>10 * ( LN( E99 + 1) /3.4)</f>
        <v>3.3276532690914724</v>
      </c>
      <c r="G99" s="15">
        <v>3.33</v>
      </c>
    </row>
    <row r="100" spans="1:7" x14ac:dyDescent="0.25">
      <c r="A100" s="15" t="s">
        <v>36</v>
      </c>
      <c r="B100" s="17">
        <f t="shared" si="4"/>
        <v>41946</v>
      </c>
      <c r="C100" s="15">
        <v>2</v>
      </c>
      <c r="D100" s="16" t="s">
        <v>322</v>
      </c>
      <c r="E100" s="16">
        <v>0</v>
      </c>
      <c r="F100" s="16">
        <v>0</v>
      </c>
      <c r="G100" s="16">
        <v>0</v>
      </c>
    </row>
    <row r="101" spans="1:7" x14ac:dyDescent="0.25">
      <c r="A101" s="15" t="s">
        <v>36</v>
      </c>
      <c r="B101" s="17">
        <f t="shared" si="4"/>
        <v>41946</v>
      </c>
      <c r="C101" s="15">
        <v>2</v>
      </c>
      <c r="D101" s="16" t="s">
        <v>323</v>
      </c>
      <c r="E101" s="16">
        <v>20.100000000000001</v>
      </c>
      <c r="F101" s="16">
        <f>10-(10*(LN(E101+1)-0.7)/4)</f>
        <v>4.1268173987949481</v>
      </c>
      <c r="G101" s="15">
        <v>4.13</v>
      </c>
    </row>
    <row r="102" spans="1:7" x14ac:dyDescent="0.25">
      <c r="A102" s="15" t="s">
        <v>38</v>
      </c>
      <c r="B102" s="17">
        <v>41767</v>
      </c>
      <c r="C102" s="15">
        <v>1</v>
      </c>
      <c r="D102" s="16" t="s">
        <v>314</v>
      </c>
      <c r="E102" s="16">
        <v>13</v>
      </c>
      <c r="F102" s="16">
        <f>10 * (E102-15)/24</f>
        <v>-0.83333333333333337</v>
      </c>
      <c r="G102" s="16">
        <v>-0.83</v>
      </c>
    </row>
    <row r="103" spans="1:7" x14ac:dyDescent="0.25">
      <c r="A103" s="15" t="s">
        <v>38</v>
      </c>
      <c r="B103" s="17">
        <f>B102</f>
        <v>41767</v>
      </c>
      <c r="C103" s="15">
        <v>1</v>
      </c>
      <c r="D103" s="16" t="s">
        <v>315</v>
      </c>
      <c r="E103" s="16">
        <v>0</v>
      </c>
      <c r="F103" s="16">
        <v>0</v>
      </c>
      <c r="G103" s="16">
        <v>0</v>
      </c>
    </row>
    <row r="104" spans="1:7" x14ac:dyDescent="0.25">
      <c r="A104" s="15" t="s">
        <v>38</v>
      </c>
      <c r="B104" s="17">
        <f t="shared" ref="B104:B121" si="5">B103</f>
        <v>41767</v>
      </c>
      <c r="C104" s="15">
        <v>1</v>
      </c>
      <c r="D104" s="16" t="s">
        <v>316</v>
      </c>
      <c r="E104" s="16">
        <v>2</v>
      </c>
      <c r="F104" s="16">
        <f>10 * E104 /7</f>
        <v>2.8571428571428572</v>
      </c>
      <c r="G104" s="16">
        <v>2.86</v>
      </c>
    </row>
    <row r="105" spans="1:7" x14ac:dyDescent="0.25">
      <c r="A105" s="15" t="s">
        <v>38</v>
      </c>
      <c r="B105" s="17">
        <f t="shared" si="5"/>
        <v>41767</v>
      </c>
      <c r="C105" s="15">
        <v>1</v>
      </c>
      <c r="D105" s="16" t="s">
        <v>317</v>
      </c>
      <c r="E105" s="16">
        <v>53.5</v>
      </c>
      <c r="F105" s="16">
        <f>10 * (E105-0.7)/43</f>
        <v>12.279069767441861</v>
      </c>
      <c r="G105" s="16">
        <v>12.28</v>
      </c>
    </row>
    <row r="106" spans="1:7" x14ac:dyDescent="0.25">
      <c r="A106" s="15" t="s">
        <v>38</v>
      </c>
      <c r="B106" s="17">
        <f t="shared" si="5"/>
        <v>41767</v>
      </c>
      <c r="C106" s="15">
        <v>1</v>
      </c>
      <c r="D106" s="16" t="s">
        <v>318</v>
      </c>
      <c r="E106" s="16">
        <v>3</v>
      </c>
      <c r="F106" s="16">
        <f>10 * E106/7</f>
        <v>4.2857142857142856</v>
      </c>
      <c r="G106" s="16">
        <v>4.29</v>
      </c>
    </row>
    <row r="107" spans="1:7" x14ac:dyDescent="0.25">
      <c r="A107" s="15" t="s">
        <v>38</v>
      </c>
      <c r="B107" s="17">
        <f t="shared" si="5"/>
        <v>41767</v>
      </c>
      <c r="C107" s="15">
        <v>1</v>
      </c>
      <c r="D107" s="16" t="s">
        <v>319</v>
      </c>
      <c r="E107" s="16">
        <v>0</v>
      </c>
      <c r="F107" s="16">
        <v>0</v>
      </c>
      <c r="G107" s="16">
        <v>0</v>
      </c>
    </row>
    <row r="108" spans="1:7" x14ac:dyDescent="0.25">
      <c r="A108" s="15" t="s">
        <v>38</v>
      </c>
      <c r="B108" s="17">
        <f t="shared" si="5"/>
        <v>41767</v>
      </c>
      <c r="C108" s="15">
        <v>1</v>
      </c>
      <c r="D108" s="16" t="s">
        <v>320</v>
      </c>
      <c r="E108" s="16">
        <v>48.4</v>
      </c>
      <c r="F108" s="15">
        <f>10-(10*(E108-14)/50)</f>
        <v>3.12</v>
      </c>
      <c r="G108" s="16">
        <v>3.12</v>
      </c>
    </row>
    <row r="109" spans="1:7" x14ac:dyDescent="0.25">
      <c r="A109" s="15" t="s">
        <v>38</v>
      </c>
      <c r="B109" s="17">
        <f t="shared" si="5"/>
        <v>41767</v>
      </c>
      <c r="C109" s="15">
        <v>1</v>
      </c>
      <c r="D109" s="16" t="s">
        <v>321</v>
      </c>
      <c r="E109" s="16">
        <v>0</v>
      </c>
      <c r="F109" s="16">
        <v>0</v>
      </c>
      <c r="G109" s="16">
        <v>0</v>
      </c>
    </row>
    <row r="110" spans="1:7" x14ac:dyDescent="0.25">
      <c r="A110" s="15" t="s">
        <v>38</v>
      </c>
      <c r="B110" s="17">
        <f t="shared" si="5"/>
        <v>41767</v>
      </c>
      <c r="C110" s="15">
        <v>1</v>
      </c>
      <c r="D110" s="16" t="s">
        <v>322</v>
      </c>
      <c r="E110" s="16">
        <v>0</v>
      </c>
      <c r="F110" s="16">
        <v>0</v>
      </c>
      <c r="G110" s="16">
        <v>0</v>
      </c>
    </row>
    <row r="111" spans="1:7" x14ac:dyDescent="0.25">
      <c r="A111" s="15" t="s">
        <v>38</v>
      </c>
      <c r="B111" s="17">
        <f t="shared" si="5"/>
        <v>41767</v>
      </c>
      <c r="C111" s="15">
        <v>1</v>
      </c>
      <c r="D111" s="16" t="s">
        <v>323</v>
      </c>
      <c r="E111" s="16">
        <v>28.4</v>
      </c>
      <c r="F111" s="16">
        <f>10-(10*(LN(E111+1)-0.7)/4)</f>
        <v>3.2975133141384099</v>
      </c>
      <c r="G111" s="15">
        <v>2.25</v>
      </c>
    </row>
    <row r="112" spans="1:7" x14ac:dyDescent="0.25">
      <c r="A112" s="15" t="s">
        <v>38</v>
      </c>
      <c r="B112" s="17">
        <f t="shared" si="5"/>
        <v>41767</v>
      </c>
      <c r="C112" s="15">
        <v>2</v>
      </c>
      <c r="D112" s="16" t="s">
        <v>314</v>
      </c>
      <c r="E112" s="16">
        <v>18</v>
      </c>
      <c r="F112" s="15">
        <f>10 * (E112-15)/24</f>
        <v>1.25</v>
      </c>
      <c r="G112" s="16">
        <v>1.25</v>
      </c>
    </row>
    <row r="113" spans="1:7" x14ac:dyDescent="0.25">
      <c r="A113" s="15" t="s">
        <v>38</v>
      </c>
      <c r="B113" s="17">
        <f t="shared" si="5"/>
        <v>41767</v>
      </c>
      <c r="C113" s="15">
        <v>2</v>
      </c>
      <c r="D113" s="16" t="s">
        <v>315</v>
      </c>
      <c r="E113" s="16">
        <v>1</v>
      </c>
      <c r="F113" s="16">
        <v>2</v>
      </c>
      <c r="G113" s="16">
        <v>2</v>
      </c>
    </row>
    <row r="114" spans="1:7" x14ac:dyDescent="0.25">
      <c r="A114" s="15" t="s">
        <v>38</v>
      </c>
      <c r="B114" s="17">
        <f t="shared" si="5"/>
        <v>41767</v>
      </c>
      <c r="C114" s="15">
        <v>2</v>
      </c>
      <c r="D114" s="16" t="s">
        <v>316</v>
      </c>
      <c r="E114" s="16">
        <v>3</v>
      </c>
      <c r="F114" s="16">
        <f>10 * E114 /7</f>
        <v>4.2857142857142856</v>
      </c>
      <c r="G114" s="16">
        <v>4.29</v>
      </c>
    </row>
    <row r="115" spans="1:7" x14ac:dyDescent="0.25">
      <c r="A115" s="15" t="s">
        <v>38</v>
      </c>
      <c r="B115" s="17">
        <f t="shared" si="5"/>
        <v>41767</v>
      </c>
      <c r="C115" s="15">
        <v>2</v>
      </c>
      <c r="D115" s="16" t="s">
        <v>317</v>
      </c>
      <c r="E115" s="16">
        <v>43.6</v>
      </c>
      <c r="F115" s="16">
        <f>10 * (E115-0.7)/43</f>
        <v>9.9767441860465116</v>
      </c>
      <c r="G115" s="16">
        <v>11.4</v>
      </c>
    </row>
    <row r="116" spans="1:7" x14ac:dyDescent="0.25">
      <c r="A116" s="15" t="s">
        <v>38</v>
      </c>
      <c r="B116" s="17">
        <f t="shared" si="5"/>
        <v>41767</v>
      </c>
      <c r="C116" s="15">
        <v>2</v>
      </c>
      <c r="D116" s="16" t="s">
        <v>318</v>
      </c>
      <c r="E116" s="16">
        <v>4</v>
      </c>
      <c r="F116" s="16">
        <f>10 * E116/7</f>
        <v>5.7142857142857144</v>
      </c>
      <c r="G116" s="16">
        <v>5.71</v>
      </c>
    </row>
    <row r="117" spans="1:7" x14ac:dyDescent="0.25">
      <c r="A117" s="15" t="s">
        <v>38</v>
      </c>
      <c r="B117" s="17">
        <f t="shared" si="5"/>
        <v>41767</v>
      </c>
      <c r="C117" s="15">
        <v>2</v>
      </c>
      <c r="D117" s="16" t="s">
        <v>319</v>
      </c>
      <c r="E117" s="16">
        <v>1</v>
      </c>
      <c r="F117" s="16">
        <f>10 * E117/3</f>
        <v>3.3333333333333335</v>
      </c>
      <c r="G117" s="16">
        <v>3.33</v>
      </c>
    </row>
    <row r="118" spans="1:7" x14ac:dyDescent="0.25">
      <c r="A118" s="15" t="s">
        <v>38</v>
      </c>
      <c r="B118" s="17">
        <f t="shared" si="5"/>
        <v>41767</v>
      </c>
      <c r="C118" s="15">
        <v>2</v>
      </c>
      <c r="D118" s="16" t="s">
        <v>320</v>
      </c>
      <c r="E118" s="16">
        <v>43.6</v>
      </c>
      <c r="F118" s="15">
        <f>10-(10*(E118-14)/50)</f>
        <v>4.08</v>
      </c>
      <c r="G118" s="16">
        <v>4.08</v>
      </c>
    </row>
    <row r="119" spans="1:7" x14ac:dyDescent="0.25">
      <c r="A119" s="15" t="s">
        <v>38</v>
      </c>
      <c r="B119" s="17">
        <f t="shared" si="5"/>
        <v>41767</v>
      </c>
      <c r="C119" s="15">
        <v>2</v>
      </c>
      <c r="D119" s="16" t="s">
        <v>321</v>
      </c>
      <c r="E119" s="16">
        <v>0</v>
      </c>
      <c r="F119" s="16">
        <v>0</v>
      </c>
      <c r="G119" s="16">
        <v>0</v>
      </c>
    </row>
    <row r="120" spans="1:7" x14ac:dyDescent="0.25">
      <c r="A120" s="15" t="s">
        <v>38</v>
      </c>
      <c r="B120" s="17">
        <f t="shared" si="5"/>
        <v>41767</v>
      </c>
      <c r="C120" s="15">
        <v>2</v>
      </c>
      <c r="D120" s="16" t="s">
        <v>322</v>
      </c>
      <c r="E120" s="16">
        <v>0</v>
      </c>
      <c r="F120" s="16">
        <v>0</v>
      </c>
      <c r="G120" s="16">
        <v>0</v>
      </c>
    </row>
    <row r="121" spans="1:7" x14ac:dyDescent="0.25">
      <c r="A121" s="15" t="s">
        <v>38</v>
      </c>
      <c r="B121" s="17">
        <f t="shared" si="5"/>
        <v>41767</v>
      </c>
      <c r="C121" s="15">
        <v>2</v>
      </c>
      <c r="D121" s="16" t="s">
        <v>323</v>
      </c>
      <c r="E121" s="16">
        <v>28.8</v>
      </c>
      <c r="F121" s="16">
        <f>10-(10*(LN(E121+1)-0.7)/4)</f>
        <v>3.2637290162216033</v>
      </c>
      <c r="G121" s="16">
        <v>3.26</v>
      </c>
    </row>
    <row r="122" spans="1:7" x14ac:dyDescent="0.25">
      <c r="A122" s="15" t="s">
        <v>38</v>
      </c>
      <c r="B122" s="17">
        <v>41936</v>
      </c>
      <c r="C122" s="15">
        <v>1</v>
      </c>
      <c r="D122" s="16" t="s">
        <v>314</v>
      </c>
      <c r="E122" s="16">
        <v>14</v>
      </c>
      <c r="F122" s="16">
        <f>10 * (E122-15)/24</f>
        <v>-0.41666666666666669</v>
      </c>
      <c r="G122" s="15">
        <v>-0.42</v>
      </c>
    </row>
    <row r="123" spans="1:7" x14ac:dyDescent="0.25">
      <c r="A123" s="15" t="s">
        <v>38</v>
      </c>
      <c r="B123" s="17">
        <f>B122</f>
        <v>41936</v>
      </c>
      <c r="C123" s="15">
        <v>1</v>
      </c>
      <c r="D123" s="16" t="s">
        <v>315</v>
      </c>
      <c r="E123" s="16">
        <v>2</v>
      </c>
      <c r="F123" s="16">
        <v>4</v>
      </c>
      <c r="G123" s="16">
        <v>4</v>
      </c>
    </row>
    <row r="124" spans="1:7" x14ac:dyDescent="0.25">
      <c r="A124" s="15" t="s">
        <v>38</v>
      </c>
      <c r="B124" s="17">
        <f t="shared" ref="B124:B141" si="6">B123</f>
        <v>41936</v>
      </c>
      <c r="C124" s="15">
        <v>1</v>
      </c>
      <c r="D124" s="16" t="s">
        <v>316</v>
      </c>
      <c r="E124" s="16">
        <v>3</v>
      </c>
      <c r="F124" s="16">
        <f>10 * E124 /7</f>
        <v>4.2857142857142856</v>
      </c>
      <c r="G124" s="15">
        <v>4.29</v>
      </c>
    </row>
    <row r="125" spans="1:7" x14ac:dyDescent="0.25">
      <c r="A125" s="15" t="s">
        <v>38</v>
      </c>
      <c r="B125" s="17">
        <f t="shared" si="6"/>
        <v>41936</v>
      </c>
      <c r="C125" s="15">
        <v>1</v>
      </c>
      <c r="D125" s="16" t="s">
        <v>317</v>
      </c>
      <c r="E125" s="16">
        <v>28.7</v>
      </c>
      <c r="F125" s="16">
        <f>10 * (E125-0.7)/43</f>
        <v>6.5116279069767442</v>
      </c>
      <c r="G125" s="15">
        <v>6.51</v>
      </c>
    </row>
    <row r="126" spans="1:7" x14ac:dyDescent="0.25">
      <c r="A126" s="15" t="s">
        <v>38</v>
      </c>
      <c r="B126" s="17">
        <f t="shared" si="6"/>
        <v>41936</v>
      </c>
      <c r="C126" s="15">
        <v>1</v>
      </c>
      <c r="D126" s="16" t="s">
        <v>318</v>
      </c>
      <c r="E126" s="16">
        <v>5</v>
      </c>
      <c r="F126" s="16">
        <f>10 * E126/7</f>
        <v>7.1428571428571432</v>
      </c>
      <c r="G126" s="15">
        <v>7.14</v>
      </c>
    </row>
    <row r="127" spans="1:7" x14ac:dyDescent="0.25">
      <c r="A127" s="15" t="s">
        <v>38</v>
      </c>
      <c r="B127" s="17">
        <f t="shared" si="6"/>
        <v>41936</v>
      </c>
      <c r="C127" s="15">
        <v>1</v>
      </c>
      <c r="D127" s="16" t="s">
        <v>319</v>
      </c>
      <c r="E127" s="16">
        <v>0</v>
      </c>
      <c r="F127" s="16">
        <v>0</v>
      </c>
      <c r="G127" s="16">
        <v>0</v>
      </c>
    </row>
    <row r="128" spans="1:7" x14ac:dyDescent="0.25">
      <c r="A128" s="15" t="s">
        <v>38</v>
      </c>
      <c r="B128" s="17">
        <f t="shared" si="6"/>
        <v>41936</v>
      </c>
      <c r="C128" s="15">
        <v>1</v>
      </c>
      <c r="D128" s="16" t="s">
        <v>320</v>
      </c>
      <c r="E128" s="16">
        <v>27.9</v>
      </c>
      <c r="F128" s="15">
        <f>10-(10*(E128-14)/50)</f>
        <v>7.2200000000000006</v>
      </c>
      <c r="G128" s="15">
        <v>7.22</v>
      </c>
    </row>
    <row r="129" spans="1:7" x14ac:dyDescent="0.25">
      <c r="A129" s="15" t="s">
        <v>38</v>
      </c>
      <c r="B129" s="17">
        <f t="shared" si="6"/>
        <v>41936</v>
      </c>
      <c r="C129" s="15">
        <v>1</v>
      </c>
      <c r="D129" s="16" t="s">
        <v>321</v>
      </c>
      <c r="E129" s="16">
        <v>0.7</v>
      </c>
      <c r="F129" s="16">
        <f>10 * ( LN( E129 + 1) /3.4)</f>
        <v>1.5606713266534422</v>
      </c>
      <c r="G129" s="15">
        <v>1.56</v>
      </c>
    </row>
    <row r="130" spans="1:7" x14ac:dyDescent="0.25">
      <c r="A130" s="15" t="s">
        <v>38</v>
      </c>
      <c r="B130" s="17">
        <f t="shared" si="6"/>
        <v>41936</v>
      </c>
      <c r="C130" s="15">
        <v>1</v>
      </c>
      <c r="D130" s="16" t="s">
        <v>322</v>
      </c>
      <c r="E130" s="16">
        <v>0</v>
      </c>
      <c r="F130" s="16">
        <v>0</v>
      </c>
      <c r="G130" s="16">
        <v>0</v>
      </c>
    </row>
    <row r="131" spans="1:7" x14ac:dyDescent="0.25">
      <c r="A131" s="15" t="s">
        <v>38</v>
      </c>
      <c r="B131" s="17">
        <f t="shared" si="6"/>
        <v>41936</v>
      </c>
      <c r="C131" s="15">
        <v>1</v>
      </c>
      <c r="D131" s="16" t="s">
        <v>323</v>
      </c>
      <c r="E131" s="16">
        <v>10.5</v>
      </c>
      <c r="F131" s="16">
        <f>10-(10*(LN(E131+1)-0.7)/4)</f>
        <v>5.6441324115769893</v>
      </c>
      <c r="G131" s="15">
        <v>5.64</v>
      </c>
    </row>
    <row r="132" spans="1:7" x14ac:dyDescent="0.25">
      <c r="A132" s="15" t="s">
        <v>38</v>
      </c>
      <c r="B132" s="17">
        <f t="shared" si="6"/>
        <v>41936</v>
      </c>
      <c r="C132" s="15">
        <v>2</v>
      </c>
      <c r="D132" s="16" t="s">
        <v>314</v>
      </c>
      <c r="E132" s="16">
        <v>18</v>
      </c>
      <c r="F132" s="15">
        <v>1.25</v>
      </c>
      <c r="G132" s="15">
        <v>1.25</v>
      </c>
    </row>
    <row r="133" spans="1:7" x14ac:dyDescent="0.25">
      <c r="A133" s="15" t="s">
        <v>38</v>
      </c>
      <c r="B133" s="17">
        <f t="shared" si="6"/>
        <v>41936</v>
      </c>
      <c r="C133" s="15">
        <v>2</v>
      </c>
      <c r="D133" s="16" t="s">
        <v>315</v>
      </c>
      <c r="E133" s="16">
        <v>1</v>
      </c>
      <c r="F133" s="16">
        <v>2</v>
      </c>
      <c r="G133" s="16">
        <v>2</v>
      </c>
    </row>
    <row r="134" spans="1:7" x14ac:dyDescent="0.25">
      <c r="A134" s="15" t="s">
        <v>38</v>
      </c>
      <c r="B134" s="17">
        <f t="shared" si="6"/>
        <v>41936</v>
      </c>
      <c r="C134" s="15">
        <v>2</v>
      </c>
      <c r="D134" s="16" t="s">
        <v>316</v>
      </c>
      <c r="E134" s="16">
        <v>3</v>
      </c>
      <c r="F134" s="16">
        <f>10 * E134 /7</f>
        <v>4.2857142857142856</v>
      </c>
      <c r="G134" s="15">
        <v>4.29</v>
      </c>
    </row>
    <row r="135" spans="1:7" x14ac:dyDescent="0.25">
      <c r="A135" s="15" t="s">
        <v>38</v>
      </c>
      <c r="B135" s="17">
        <f t="shared" si="6"/>
        <v>41936</v>
      </c>
      <c r="C135" s="15">
        <v>2</v>
      </c>
      <c r="D135" s="16" t="s">
        <v>317</v>
      </c>
      <c r="E135" s="16">
        <v>37.1</v>
      </c>
      <c r="F135" s="15">
        <v>8.4700000000000006</v>
      </c>
      <c r="G135" s="15">
        <v>8.4700000000000006</v>
      </c>
    </row>
    <row r="136" spans="1:7" x14ac:dyDescent="0.25">
      <c r="A136" s="15" t="s">
        <v>38</v>
      </c>
      <c r="B136" s="17">
        <f t="shared" si="6"/>
        <v>41936</v>
      </c>
      <c r="C136" s="15">
        <v>2</v>
      </c>
      <c r="D136" s="16" t="s">
        <v>318</v>
      </c>
      <c r="E136" s="16">
        <v>5</v>
      </c>
      <c r="F136" s="16">
        <f>10 * E136/7</f>
        <v>7.1428571428571432</v>
      </c>
      <c r="G136" s="15">
        <v>7.14</v>
      </c>
    </row>
    <row r="137" spans="1:7" x14ac:dyDescent="0.25">
      <c r="A137" s="15" t="s">
        <v>38</v>
      </c>
      <c r="B137" s="17">
        <f t="shared" si="6"/>
        <v>41936</v>
      </c>
      <c r="C137" s="15">
        <v>2</v>
      </c>
      <c r="D137" s="16" t="s">
        <v>319</v>
      </c>
      <c r="E137" s="16">
        <v>1</v>
      </c>
      <c r="F137" s="16">
        <f>10 * E137/3</f>
        <v>3.3333333333333335</v>
      </c>
      <c r="G137" s="15">
        <v>3.33</v>
      </c>
    </row>
    <row r="138" spans="1:7" x14ac:dyDescent="0.25">
      <c r="A138" s="15" t="s">
        <v>38</v>
      </c>
      <c r="B138" s="17">
        <f t="shared" si="6"/>
        <v>41936</v>
      </c>
      <c r="C138" s="15">
        <v>2</v>
      </c>
      <c r="D138" s="16" t="s">
        <v>320</v>
      </c>
      <c r="E138" s="16">
        <v>27.2</v>
      </c>
      <c r="F138" s="15">
        <f>10-(10*(E138-14)/50)</f>
        <v>7.3599999999999994</v>
      </c>
      <c r="G138" s="15">
        <v>7.36</v>
      </c>
    </row>
    <row r="139" spans="1:7" x14ac:dyDescent="0.25">
      <c r="A139" s="15" t="s">
        <v>38</v>
      </c>
      <c r="B139" s="17">
        <f t="shared" si="6"/>
        <v>41936</v>
      </c>
      <c r="C139" s="15">
        <v>2</v>
      </c>
      <c r="D139" s="16" t="s">
        <v>321</v>
      </c>
      <c r="E139" s="15">
        <v>1.99</v>
      </c>
      <c r="F139" s="16">
        <f>10 * ( LN( E139 + 1) /3.4)</f>
        <v>3.2213923158899855</v>
      </c>
      <c r="G139" s="15">
        <v>3.22</v>
      </c>
    </row>
    <row r="140" spans="1:7" x14ac:dyDescent="0.25">
      <c r="A140" s="15" t="s">
        <v>38</v>
      </c>
      <c r="B140" s="17">
        <f t="shared" si="6"/>
        <v>41936</v>
      </c>
      <c r="C140" s="15">
        <v>2</v>
      </c>
      <c r="D140" s="16" t="s">
        <v>322</v>
      </c>
      <c r="E140" s="16">
        <v>0</v>
      </c>
      <c r="F140" s="16">
        <v>0</v>
      </c>
      <c r="G140" s="16">
        <v>0</v>
      </c>
    </row>
    <row r="141" spans="1:7" x14ac:dyDescent="0.25">
      <c r="A141" s="15" t="s">
        <v>38</v>
      </c>
      <c r="B141" s="17">
        <f t="shared" si="6"/>
        <v>41936</v>
      </c>
      <c r="C141" s="15">
        <v>2</v>
      </c>
      <c r="D141" s="16" t="s">
        <v>323</v>
      </c>
      <c r="E141" s="16">
        <v>15.2</v>
      </c>
      <c r="F141" s="16">
        <f>10-(10*(LN(E141+1)-0.7)/4)</f>
        <v>4.7874718944041543</v>
      </c>
      <c r="G141" s="15">
        <v>4.79</v>
      </c>
    </row>
    <row r="142" spans="1:7" x14ac:dyDescent="0.25">
      <c r="A142" s="15" t="s">
        <v>59</v>
      </c>
      <c r="B142" s="17">
        <v>42101</v>
      </c>
      <c r="C142" s="15">
        <v>1</v>
      </c>
      <c r="D142" s="16" t="s">
        <v>314</v>
      </c>
      <c r="E142" s="16">
        <v>19</v>
      </c>
      <c r="F142" s="16">
        <f>10 * (E142-15)/24</f>
        <v>1.6666666666666667</v>
      </c>
      <c r="G142" s="15">
        <v>1.67</v>
      </c>
    </row>
    <row r="143" spans="1:7" x14ac:dyDescent="0.25">
      <c r="A143" s="15" t="s">
        <v>59</v>
      </c>
      <c r="B143" s="17">
        <f>B142</f>
        <v>42101</v>
      </c>
      <c r="C143" s="15">
        <v>1</v>
      </c>
      <c r="D143" s="16" t="s">
        <v>315</v>
      </c>
      <c r="E143" s="16">
        <v>1</v>
      </c>
      <c r="F143" s="16">
        <f>10 * E143 /5</f>
        <v>2</v>
      </c>
      <c r="G143" s="16">
        <v>2</v>
      </c>
    </row>
    <row r="144" spans="1:7" x14ac:dyDescent="0.25">
      <c r="A144" s="15" t="s">
        <v>59</v>
      </c>
      <c r="B144" s="17">
        <f>B143</f>
        <v>42101</v>
      </c>
      <c r="C144" s="15">
        <v>1</v>
      </c>
      <c r="D144" s="16" t="s">
        <v>316</v>
      </c>
      <c r="E144" s="16">
        <v>3</v>
      </c>
      <c r="F144" s="16">
        <f>10 * E144 /7</f>
        <v>4.2857142857142856</v>
      </c>
      <c r="G144" s="15">
        <v>4.29</v>
      </c>
    </row>
    <row r="145" spans="1:7" x14ac:dyDescent="0.25">
      <c r="A145" s="15" t="s">
        <v>59</v>
      </c>
      <c r="B145" s="17">
        <f t="shared" ref="B145:B161" si="7">B144</f>
        <v>42101</v>
      </c>
      <c r="C145" s="15">
        <v>1</v>
      </c>
      <c r="D145" s="16" t="s">
        <v>317</v>
      </c>
      <c r="E145" s="16">
        <v>29.3</v>
      </c>
      <c r="F145" s="16">
        <f>10 * (E145-0.7)/43</f>
        <v>6.6511627906976747</v>
      </c>
      <c r="G145" s="15">
        <v>6.65</v>
      </c>
    </row>
    <row r="146" spans="1:7" x14ac:dyDescent="0.25">
      <c r="A146" s="15" t="s">
        <v>59</v>
      </c>
      <c r="B146" s="17">
        <f t="shared" si="7"/>
        <v>42101</v>
      </c>
      <c r="C146" s="15">
        <v>1</v>
      </c>
      <c r="D146" s="16" t="s">
        <v>318</v>
      </c>
      <c r="E146" s="16">
        <v>5</v>
      </c>
      <c r="F146" s="16">
        <f>10 * E146/7</f>
        <v>7.1428571428571432</v>
      </c>
      <c r="G146" s="15">
        <v>7.14</v>
      </c>
    </row>
    <row r="147" spans="1:7" x14ac:dyDescent="0.25">
      <c r="A147" s="15" t="s">
        <v>59</v>
      </c>
      <c r="B147" s="17">
        <f t="shared" si="7"/>
        <v>42101</v>
      </c>
      <c r="C147" s="15">
        <v>1</v>
      </c>
      <c r="D147" s="16" t="s">
        <v>319</v>
      </c>
      <c r="E147" s="16">
        <v>0</v>
      </c>
      <c r="F147" s="16">
        <v>0</v>
      </c>
      <c r="G147" s="16">
        <v>0</v>
      </c>
    </row>
    <row r="148" spans="1:7" x14ac:dyDescent="0.25">
      <c r="A148" s="15" t="s">
        <v>59</v>
      </c>
      <c r="B148" s="17">
        <f t="shared" si="7"/>
        <v>42101</v>
      </c>
      <c r="C148" s="15">
        <v>1</v>
      </c>
      <c r="D148" s="16" t="s">
        <v>320</v>
      </c>
      <c r="E148" s="16">
        <v>25.8</v>
      </c>
      <c r="F148" s="16">
        <f>10-(10*(E148-14)/50)</f>
        <v>7.6400000000000006</v>
      </c>
      <c r="G148" s="15">
        <v>7.64</v>
      </c>
    </row>
    <row r="149" spans="1:7" x14ac:dyDescent="0.25">
      <c r="A149" s="15" t="s">
        <v>59</v>
      </c>
      <c r="B149" s="17">
        <f t="shared" si="7"/>
        <v>42101</v>
      </c>
      <c r="C149" s="15">
        <v>1</v>
      </c>
      <c r="D149" s="16" t="s">
        <v>321</v>
      </c>
      <c r="E149" s="16">
        <v>27.2</v>
      </c>
      <c r="F149" s="16">
        <f>10 * ( LN( E149 + 1) /3.4)</f>
        <v>9.8215352292472584</v>
      </c>
      <c r="G149" s="15">
        <v>9.82</v>
      </c>
    </row>
    <row r="150" spans="1:7" x14ac:dyDescent="0.25">
      <c r="A150" s="15" t="s">
        <v>59</v>
      </c>
      <c r="B150" s="17">
        <f t="shared" si="7"/>
        <v>42101</v>
      </c>
      <c r="C150" s="15">
        <v>1</v>
      </c>
      <c r="D150" s="16" t="s">
        <v>322</v>
      </c>
      <c r="E150" s="16">
        <v>1</v>
      </c>
      <c r="F150" s="16">
        <f>10 * E150 /7</f>
        <v>1.4285714285714286</v>
      </c>
      <c r="G150" s="15">
        <v>1.43</v>
      </c>
    </row>
    <row r="151" spans="1:7" x14ac:dyDescent="0.25">
      <c r="A151" s="15" t="s">
        <v>59</v>
      </c>
      <c r="B151" s="17">
        <f t="shared" si="7"/>
        <v>42101</v>
      </c>
      <c r="C151" s="15">
        <v>1</v>
      </c>
      <c r="D151" s="16" t="s">
        <v>323</v>
      </c>
      <c r="E151" s="16">
        <v>28.6</v>
      </c>
      <c r="F151" s="16">
        <f>10-(10*(LN(E151+1)-0.7)/4)</f>
        <v>3.2805640966749632</v>
      </c>
      <c r="G151" s="15">
        <v>3.28</v>
      </c>
    </row>
    <row r="152" spans="1:7" x14ac:dyDescent="0.25">
      <c r="A152" s="15" t="s">
        <v>59</v>
      </c>
      <c r="B152" s="17">
        <f t="shared" si="7"/>
        <v>42101</v>
      </c>
      <c r="C152" s="15">
        <v>2</v>
      </c>
      <c r="D152" s="16" t="s">
        <v>314</v>
      </c>
      <c r="E152" s="16">
        <v>24</v>
      </c>
      <c r="F152" s="16">
        <f>10 * (E152-15)/24</f>
        <v>3.75</v>
      </c>
      <c r="G152" s="15">
        <v>3.75</v>
      </c>
    </row>
    <row r="153" spans="1:7" x14ac:dyDescent="0.25">
      <c r="A153" s="15" t="s">
        <v>59</v>
      </c>
      <c r="B153" s="17">
        <f t="shared" si="7"/>
        <v>42101</v>
      </c>
      <c r="C153" s="15">
        <v>2</v>
      </c>
      <c r="D153" s="16" t="s">
        <v>315</v>
      </c>
      <c r="E153" s="16">
        <v>1</v>
      </c>
      <c r="F153" s="16">
        <f>10 * E153 /5</f>
        <v>2</v>
      </c>
      <c r="G153" s="16">
        <v>2</v>
      </c>
    </row>
    <row r="154" spans="1:7" x14ac:dyDescent="0.25">
      <c r="A154" s="15" t="s">
        <v>59</v>
      </c>
      <c r="B154" s="17">
        <f t="shared" si="7"/>
        <v>42101</v>
      </c>
      <c r="C154" s="15">
        <v>2</v>
      </c>
      <c r="D154" s="16" t="s">
        <v>316</v>
      </c>
      <c r="E154" s="16">
        <v>4</v>
      </c>
      <c r="F154" s="16">
        <f>10 * E154 /7</f>
        <v>5.7142857142857144</v>
      </c>
      <c r="G154" s="16">
        <v>5.71</v>
      </c>
    </row>
    <row r="155" spans="1:7" x14ac:dyDescent="0.25">
      <c r="A155" s="15" t="s">
        <v>59</v>
      </c>
      <c r="B155" s="17">
        <f t="shared" si="7"/>
        <v>42101</v>
      </c>
      <c r="C155" s="15">
        <v>2</v>
      </c>
      <c r="D155" s="16" t="s">
        <v>317</v>
      </c>
      <c r="E155" s="16">
        <v>23.9</v>
      </c>
      <c r="F155" s="16">
        <f>10 * (E155-0.7)/43</f>
        <v>5.3953488372093021</v>
      </c>
      <c r="G155" s="16">
        <v>5.4</v>
      </c>
    </row>
    <row r="156" spans="1:7" x14ac:dyDescent="0.25">
      <c r="A156" s="15" t="s">
        <v>59</v>
      </c>
      <c r="B156" s="17">
        <f t="shared" si="7"/>
        <v>42101</v>
      </c>
      <c r="C156" s="15">
        <v>2</v>
      </c>
      <c r="D156" s="16" t="s">
        <v>318</v>
      </c>
      <c r="E156" s="16">
        <v>6</v>
      </c>
      <c r="F156" s="16">
        <f>10 * E156/7</f>
        <v>8.5714285714285712</v>
      </c>
      <c r="G156" s="16">
        <v>8.57</v>
      </c>
    </row>
    <row r="157" spans="1:7" x14ac:dyDescent="0.25">
      <c r="A157" s="15" t="s">
        <v>59</v>
      </c>
      <c r="B157" s="17">
        <f t="shared" si="7"/>
        <v>42101</v>
      </c>
      <c r="C157" s="15">
        <v>2</v>
      </c>
      <c r="D157" s="16" t="s">
        <v>319</v>
      </c>
      <c r="E157" s="16">
        <v>0</v>
      </c>
      <c r="F157" s="16">
        <v>0</v>
      </c>
      <c r="G157" s="16">
        <v>0</v>
      </c>
    </row>
    <row r="158" spans="1:7" x14ac:dyDescent="0.25">
      <c r="A158" s="15" t="s">
        <v>59</v>
      </c>
      <c r="B158" s="17">
        <f t="shared" si="7"/>
        <v>42101</v>
      </c>
      <c r="C158" s="15">
        <v>2</v>
      </c>
      <c r="D158" s="16" t="s">
        <v>320</v>
      </c>
      <c r="E158" s="16">
        <v>17.8</v>
      </c>
      <c r="F158" s="16">
        <f>10-(10*(E158-14)/50)</f>
        <v>9.24</v>
      </c>
      <c r="G158" s="16">
        <v>9.24</v>
      </c>
    </row>
    <row r="159" spans="1:7" x14ac:dyDescent="0.25">
      <c r="A159" s="15" t="s">
        <v>59</v>
      </c>
      <c r="B159" s="17">
        <f t="shared" si="7"/>
        <v>42101</v>
      </c>
      <c r="C159" s="15">
        <v>2</v>
      </c>
      <c r="D159" s="16" t="s">
        <v>321</v>
      </c>
      <c r="E159" s="16">
        <v>20.7</v>
      </c>
      <c r="F159" s="16">
        <f>10 * ( LN( E159 + 1) /3.4)</f>
        <v>9.0509184133718055</v>
      </c>
      <c r="G159" s="16">
        <v>9.0500000000000007</v>
      </c>
    </row>
    <row r="160" spans="1:7" x14ac:dyDescent="0.25">
      <c r="A160" s="15" t="s">
        <v>59</v>
      </c>
      <c r="B160" s="17">
        <f t="shared" si="7"/>
        <v>42101</v>
      </c>
      <c r="C160" s="15">
        <v>2</v>
      </c>
      <c r="D160" s="16" t="s">
        <v>322</v>
      </c>
      <c r="E160" s="16">
        <v>2</v>
      </c>
      <c r="F160" s="16">
        <f>10 * E160 /7</f>
        <v>2.8571428571428572</v>
      </c>
      <c r="G160" s="16">
        <v>2.86</v>
      </c>
    </row>
    <row r="161" spans="1:7" x14ac:dyDescent="0.25">
      <c r="A161" s="15" t="s">
        <v>59</v>
      </c>
      <c r="B161" s="17">
        <f t="shared" si="7"/>
        <v>42101</v>
      </c>
      <c r="C161" s="15">
        <v>2</v>
      </c>
      <c r="D161" s="16" t="s">
        <v>323</v>
      </c>
      <c r="E161" s="16">
        <v>21.4</v>
      </c>
      <c r="F161" s="16">
        <f>10-(10*(LN(E161+1)-0.7)/4)</f>
        <v>3.9773476028475141</v>
      </c>
      <c r="G161" s="16">
        <v>3.98</v>
      </c>
    </row>
    <row r="162" spans="1:7" x14ac:dyDescent="0.25">
      <c r="A162" s="15" t="s">
        <v>42</v>
      </c>
      <c r="B162" s="17">
        <v>41967</v>
      </c>
      <c r="C162" s="15">
        <v>1</v>
      </c>
      <c r="D162" s="16" t="s">
        <v>314</v>
      </c>
      <c r="E162" s="16">
        <v>19</v>
      </c>
      <c r="F162" s="16">
        <f>10 * (E162-15)/24</f>
        <v>1.6666666666666667</v>
      </c>
      <c r="G162" s="16">
        <f>F162</f>
        <v>1.6666666666666667</v>
      </c>
    </row>
    <row r="163" spans="1:7" x14ac:dyDescent="0.25">
      <c r="A163" s="15" t="s">
        <v>42</v>
      </c>
      <c r="B163" s="17">
        <f>B162</f>
        <v>41967</v>
      </c>
      <c r="C163" s="15">
        <v>1</v>
      </c>
      <c r="D163" s="16" t="s">
        <v>315</v>
      </c>
      <c r="E163" s="16">
        <v>1</v>
      </c>
      <c r="F163" s="16">
        <f>10 * E163 /5</f>
        <v>2</v>
      </c>
      <c r="G163" s="16">
        <f t="shared" ref="G163:G171" si="8">F163</f>
        <v>2</v>
      </c>
    </row>
    <row r="164" spans="1:7" x14ac:dyDescent="0.25">
      <c r="A164" s="15" t="s">
        <v>42</v>
      </c>
      <c r="B164" s="17">
        <f t="shared" ref="B164:B181" si="9">B163</f>
        <v>41967</v>
      </c>
      <c r="C164" s="15">
        <v>1</v>
      </c>
      <c r="D164" s="16" t="s">
        <v>316</v>
      </c>
      <c r="E164" s="16">
        <v>2</v>
      </c>
      <c r="F164" s="16">
        <f>10 * E164 /7</f>
        <v>2.8571428571428572</v>
      </c>
      <c r="G164" s="16">
        <f t="shared" si="8"/>
        <v>2.8571428571428572</v>
      </c>
    </row>
    <row r="165" spans="1:7" x14ac:dyDescent="0.25">
      <c r="A165" s="15" t="s">
        <v>42</v>
      </c>
      <c r="B165" s="17">
        <f t="shared" si="9"/>
        <v>41967</v>
      </c>
      <c r="C165" s="15">
        <v>1</v>
      </c>
      <c r="D165" s="16" t="s">
        <v>317</v>
      </c>
      <c r="E165" s="16">
        <v>14.9</v>
      </c>
      <c r="F165" s="16">
        <f>10 * (E165-0.7)/43</f>
        <v>3.3023255813953489</v>
      </c>
      <c r="G165" s="16">
        <f t="shared" si="8"/>
        <v>3.3023255813953489</v>
      </c>
    </row>
    <row r="166" spans="1:7" x14ac:dyDescent="0.25">
      <c r="A166" s="15" t="s">
        <v>42</v>
      </c>
      <c r="B166" s="17">
        <f t="shared" si="9"/>
        <v>41967</v>
      </c>
      <c r="C166" s="15">
        <v>1</v>
      </c>
      <c r="D166" s="16" t="s">
        <v>318</v>
      </c>
      <c r="E166" s="16">
        <v>4</v>
      </c>
      <c r="F166" s="16">
        <f>10 * E166/7</f>
        <v>5.7142857142857144</v>
      </c>
      <c r="G166" s="16">
        <f t="shared" si="8"/>
        <v>5.7142857142857144</v>
      </c>
    </row>
    <row r="167" spans="1:7" x14ac:dyDescent="0.25">
      <c r="A167" s="15" t="s">
        <v>42</v>
      </c>
      <c r="B167" s="17">
        <f t="shared" si="9"/>
        <v>41967</v>
      </c>
      <c r="C167" s="15">
        <v>1</v>
      </c>
      <c r="D167" s="16" t="s">
        <v>319</v>
      </c>
      <c r="E167" s="16">
        <v>0</v>
      </c>
      <c r="F167" s="16">
        <v>0</v>
      </c>
      <c r="G167" s="16">
        <f t="shared" si="8"/>
        <v>0</v>
      </c>
    </row>
    <row r="168" spans="1:7" x14ac:dyDescent="0.25">
      <c r="A168" s="15" t="s">
        <v>42</v>
      </c>
      <c r="B168" s="17">
        <f t="shared" si="9"/>
        <v>41967</v>
      </c>
      <c r="C168" s="15">
        <v>1</v>
      </c>
      <c r="D168" s="16" t="s">
        <v>320</v>
      </c>
      <c r="E168" s="16">
        <v>26.2</v>
      </c>
      <c r="F168" s="16">
        <f>10-(10*(E168-14)/50)</f>
        <v>7.5600000000000005</v>
      </c>
      <c r="G168" s="16">
        <f t="shared" si="8"/>
        <v>7.5600000000000005</v>
      </c>
    </row>
    <row r="169" spans="1:7" x14ac:dyDescent="0.25">
      <c r="A169" s="15" t="s">
        <v>42</v>
      </c>
      <c r="B169" s="17">
        <f t="shared" si="9"/>
        <v>41967</v>
      </c>
      <c r="C169" s="15">
        <v>1</v>
      </c>
      <c r="D169" s="16" t="s">
        <v>321</v>
      </c>
      <c r="E169" s="16">
        <v>2.8</v>
      </c>
      <c r="F169" s="16">
        <f>10 * ( LN( E169 + 1) /3.4)</f>
        <v>3.9264737256833531</v>
      </c>
      <c r="G169" s="16">
        <f t="shared" si="8"/>
        <v>3.9264737256833531</v>
      </c>
    </row>
    <row r="170" spans="1:7" x14ac:dyDescent="0.25">
      <c r="A170" s="15" t="s">
        <v>42</v>
      </c>
      <c r="B170" s="17">
        <f t="shared" si="9"/>
        <v>41967</v>
      </c>
      <c r="C170" s="15">
        <v>1</v>
      </c>
      <c r="D170" s="16" t="s">
        <v>322</v>
      </c>
      <c r="E170" s="16">
        <v>0</v>
      </c>
      <c r="F170" s="16">
        <f>10 * E170 /7</f>
        <v>0</v>
      </c>
      <c r="G170" s="16">
        <f t="shared" si="8"/>
        <v>0</v>
      </c>
    </row>
    <row r="171" spans="1:7" x14ac:dyDescent="0.25">
      <c r="A171" s="15" t="s">
        <v>42</v>
      </c>
      <c r="B171" s="17">
        <f t="shared" si="9"/>
        <v>41967</v>
      </c>
      <c r="C171" s="15">
        <v>1</v>
      </c>
      <c r="D171" s="16" t="s">
        <v>323</v>
      </c>
      <c r="E171" s="16">
        <v>8.5</v>
      </c>
      <c r="F171" s="16">
        <f>10-(10*(LN(E171+1)-0.7)/4)</f>
        <v>6.1217705034837611</v>
      </c>
      <c r="G171" s="16">
        <f t="shared" si="8"/>
        <v>6.1217705034837611</v>
      </c>
    </row>
    <row r="172" spans="1:7" x14ac:dyDescent="0.25">
      <c r="A172" s="15" t="s">
        <v>42</v>
      </c>
      <c r="B172" s="17">
        <f t="shared" si="9"/>
        <v>41967</v>
      </c>
      <c r="C172" s="15">
        <v>2</v>
      </c>
      <c r="D172" s="16" t="s">
        <v>314</v>
      </c>
      <c r="E172" s="16">
        <v>20</v>
      </c>
      <c r="F172" s="16">
        <f>10 * (E172-15)/24</f>
        <v>2.0833333333333335</v>
      </c>
      <c r="G172" s="16">
        <f>F172</f>
        <v>2.0833333333333335</v>
      </c>
    </row>
    <row r="173" spans="1:7" x14ac:dyDescent="0.25">
      <c r="A173" s="15" t="s">
        <v>42</v>
      </c>
      <c r="B173" s="17">
        <f t="shared" si="9"/>
        <v>41967</v>
      </c>
      <c r="C173" s="15">
        <v>2</v>
      </c>
      <c r="D173" s="16" t="s">
        <v>315</v>
      </c>
      <c r="E173" s="16">
        <v>2</v>
      </c>
      <c r="F173" s="16">
        <f>10 * E173 /5</f>
        <v>4</v>
      </c>
      <c r="G173" s="16">
        <f t="shared" ref="G173:G180" si="10">F173</f>
        <v>4</v>
      </c>
    </row>
    <row r="174" spans="1:7" x14ac:dyDescent="0.25">
      <c r="A174" s="15" t="s">
        <v>42</v>
      </c>
      <c r="B174" s="17">
        <f t="shared" si="9"/>
        <v>41967</v>
      </c>
      <c r="C174" s="15">
        <v>2</v>
      </c>
      <c r="D174" s="16" t="s">
        <v>316</v>
      </c>
      <c r="E174" s="16">
        <v>3</v>
      </c>
      <c r="F174" s="16">
        <f>10 * E174 /7</f>
        <v>4.2857142857142856</v>
      </c>
      <c r="G174" s="16">
        <f t="shared" si="10"/>
        <v>4.2857142857142856</v>
      </c>
    </row>
    <row r="175" spans="1:7" x14ac:dyDescent="0.25">
      <c r="A175" s="15" t="s">
        <v>42</v>
      </c>
      <c r="B175" s="17">
        <f t="shared" si="9"/>
        <v>41967</v>
      </c>
      <c r="C175" s="15">
        <v>2</v>
      </c>
      <c r="D175" s="16" t="s">
        <v>317</v>
      </c>
      <c r="E175" s="16">
        <v>20.100000000000001</v>
      </c>
      <c r="F175" s="16">
        <f>10 * (E175-0.7)/43</f>
        <v>4.5116279069767451</v>
      </c>
      <c r="G175" s="16">
        <f t="shared" si="10"/>
        <v>4.5116279069767451</v>
      </c>
    </row>
    <row r="176" spans="1:7" x14ac:dyDescent="0.25">
      <c r="A176" s="15" t="s">
        <v>42</v>
      </c>
      <c r="B176" s="17">
        <f t="shared" si="9"/>
        <v>41967</v>
      </c>
      <c r="C176" s="15">
        <v>2</v>
      </c>
      <c r="D176" s="16" t="s">
        <v>318</v>
      </c>
      <c r="E176" s="16">
        <v>6</v>
      </c>
      <c r="F176" s="16">
        <f>10 * E176/7</f>
        <v>8.5714285714285712</v>
      </c>
      <c r="G176" s="16">
        <f t="shared" si="10"/>
        <v>8.5714285714285712</v>
      </c>
    </row>
    <row r="177" spans="1:7" x14ac:dyDescent="0.25">
      <c r="A177" s="15" t="s">
        <v>42</v>
      </c>
      <c r="B177" s="17">
        <f t="shared" si="9"/>
        <v>41967</v>
      </c>
      <c r="C177" s="15">
        <v>2</v>
      </c>
      <c r="D177" s="16" t="s">
        <v>319</v>
      </c>
      <c r="E177" s="16">
        <v>1</v>
      </c>
      <c r="F177" s="16">
        <f>10 * E177/3</f>
        <v>3.3333333333333335</v>
      </c>
      <c r="G177" s="16">
        <f t="shared" si="10"/>
        <v>3.3333333333333335</v>
      </c>
    </row>
    <row r="178" spans="1:7" x14ac:dyDescent="0.25">
      <c r="A178" s="15" t="s">
        <v>42</v>
      </c>
      <c r="B178" s="17">
        <f t="shared" si="9"/>
        <v>41967</v>
      </c>
      <c r="C178" s="15">
        <v>2</v>
      </c>
      <c r="D178" s="16" t="s">
        <v>320</v>
      </c>
      <c r="E178" s="16">
        <v>30.9</v>
      </c>
      <c r="F178" s="16">
        <f>10-(10*(E178-14)/50)</f>
        <v>6.62</v>
      </c>
      <c r="G178" s="16">
        <f t="shared" si="10"/>
        <v>6.62</v>
      </c>
    </row>
    <row r="179" spans="1:7" x14ac:dyDescent="0.25">
      <c r="A179" s="15" t="s">
        <v>42</v>
      </c>
      <c r="B179" s="17">
        <f t="shared" si="9"/>
        <v>41967</v>
      </c>
      <c r="C179" s="15">
        <v>2</v>
      </c>
      <c r="D179" s="16" t="s">
        <v>321</v>
      </c>
      <c r="E179" s="16">
        <v>3.4</v>
      </c>
      <c r="F179" s="16">
        <f>10 * ( LN( E179 + 1) /3.4)</f>
        <v>4.3576604144829876</v>
      </c>
      <c r="G179" s="16">
        <f t="shared" si="10"/>
        <v>4.3576604144829876</v>
      </c>
    </row>
    <row r="180" spans="1:7" x14ac:dyDescent="0.25">
      <c r="A180" s="15" t="s">
        <v>42</v>
      </c>
      <c r="B180" s="17">
        <f t="shared" si="9"/>
        <v>41967</v>
      </c>
      <c r="C180" s="15">
        <v>2</v>
      </c>
      <c r="D180" s="16" t="s">
        <v>322</v>
      </c>
      <c r="E180" s="16">
        <v>0</v>
      </c>
      <c r="F180" s="16">
        <f>10 * E180 /7</f>
        <v>0</v>
      </c>
      <c r="G180" s="16">
        <f t="shared" si="10"/>
        <v>0</v>
      </c>
    </row>
    <row r="181" spans="1:7" x14ac:dyDescent="0.25">
      <c r="A181" s="15" t="s">
        <v>42</v>
      </c>
      <c r="B181" s="17">
        <f t="shared" si="9"/>
        <v>41967</v>
      </c>
      <c r="C181" s="15">
        <v>2</v>
      </c>
      <c r="D181" s="16" t="s">
        <v>323</v>
      </c>
      <c r="E181" s="16">
        <v>8.6999999999999993</v>
      </c>
      <c r="F181" s="16">
        <f>10-(10*(LN(E181+1)-0.7)/4)</f>
        <v>6.0696852862266581</v>
      </c>
      <c r="G181" s="15">
        <v>5.92</v>
      </c>
    </row>
    <row r="182" spans="1:7" x14ac:dyDescent="0.25">
      <c r="A182" s="15" t="s">
        <v>42</v>
      </c>
      <c r="B182" s="17">
        <v>42348</v>
      </c>
      <c r="C182" s="15">
        <v>1</v>
      </c>
      <c r="D182" s="16" t="s">
        <v>314</v>
      </c>
      <c r="E182" s="16">
        <v>19</v>
      </c>
      <c r="F182" s="16">
        <f>10 * (E182-15)/24</f>
        <v>1.6666666666666667</v>
      </c>
      <c r="G182" s="16">
        <f>F182</f>
        <v>1.6666666666666667</v>
      </c>
    </row>
    <row r="183" spans="1:7" x14ac:dyDescent="0.25">
      <c r="A183" s="15" t="s">
        <v>42</v>
      </c>
      <c r="B183" s="17">
        <f>B182</f>
        <v>42348</v>
      </c>
      <c r="C183" s="15">
        <v>1</v>
      </c>
      <c r="D183" s="16" t="s">
        <v>315</v>
      </c>
      <c r="E183" s="16">
        <v>1</v>
      </c>
      <c r="F183" s="16">
        <f>10 * E183 /5</f>
        <v>2</v>
      </c>
      <c r="G183" s="16">
        <f t="shared" ref="G183:G187" si="11">F183</f>
        <v>2</v>
      </c>
    </row>
    <row r="184" spans="1:7" x14ac:dyDescent="0.25">
      <c r="A184" s="15" t="s">
        <v>42</v>
      </c>
      <c r="B184" s="17">
        <f t="shared" ref="B184:B201" si="12">B183</f>
        <v>42348</v>
      </c>
      <c r="C184" s="15">
        <v>1</v>
      </c>
      <c r="D184" s="16" t="s">
        <v>316</v>
      </c>
      <c r="E184" s="16">
        <v>2</v>
      </c>
      <c r="F184" s="16">
        <f>10 * E184 /7</f>
        <v>2.8571428571428572</v>
      </c>
      <c r="G184" s="16">
        <f t="shared" si="11"/>
        <v>2.8571428571428572</v>
      </c>
    </row>
    <row r="185" spans="1:7" x14ac:dyDescent="0.25">
      <c r="A185" s="15" t="s">
        <v>42</v>
      </c>
      <c r="B185" s="17">
        <f t="shared" si="12"/>
        <v>42348</v>
      </c>
      <c r="C185" s="15">
        <v>1</v>
      </c>
      <c r="D185" s="16" t="s">
        <v>317</v>
      </c>
      <c r="E185" s="16">
        <v>32.6</v>
      </c>
      <c r="F185" s="16">
        <f>10 * (E185-0.7)/43</f>
        <v>7.4186046511627906</v>
      </c>
      <c r="G185" s="16">
        <f t="shared" si="11"/>
        <v>7.4186046511627906</v>
      </c>
    </row>
    <row r="186" spans="1:7" x14ac:dyDescent="0.25">
      <c r="A186" s="15" t="s">
        <v>42</v>
      </c>
      <c r="B186" s="17">
        <f t="shared" si="12"/>
        <v>42348</v>
      </c>
      <c r="C186" s="15">
        <v>1</v>
      </c>
      <c r="D186" s="16" t="s">
        <v>318</v>
      </c>
      <c r="E186" s="16">
        <v>5</v>
      </c>
      <c r="F186" s="16">
        <f>10 * E186/7</f>
        <v>7.1428571428571432</v>
      </c>
      <c r="G186" s="16">
        <f t="shared" si="11"/>
        <v>7.1428571428571432</v>
      </c>
    </row>
    <row r="187" spans="1:7" x14ac:dyDescent="0.25">
      <c r="A187" s="15" t="s">
        <v>42</v>
      </c>
      <c r="B187" s="17">
        <f t="shared" si="12"/>
        <v>42348</v>
      </c>
      <c r="C187" s="15">
        <v>1</v>
      </c>
      <c r="D187" s="16" t="s">
        <v>319</v>
      </c>
      <c r="E187" s="16">
        <v>0</v>
      </c>
      <c r="F187" s="16">
        <f>10 * E187/3</f>
        <v>0</v>
      </c>
      <c r="G187" s="16">
        <f t="shared" si="11"/>
        <v>0</v>
      </c>
    </row>
    <row r="188" spans="1:7" x14ac:dyDescent="0.25">
      <c r="A188" s="15" t="s">
        <v>42</v>
      </c>
      <c r="B188" s="17">
        <f t="shared" si="12"/>
        <v>42348</v>
      </c>
      <c r="C188" s="15">
        <v>1</v>
      </c>
      <c r="D188" s="16" t="s">
        <v>320</v>
      </c>
      <c r="E188" s="16">
        <v>29.5</v>
      </c>
      <c r="F188" s="16">
        <f>10-(10*(E188-14)/50)</f>
        <v>6.9</v>
      </c>
      <c r="G188" s="15">
        <v>6.98</v>
      </c>
    </row>
    <row r="189" spans="1:7" x14ac:dyDescent="0.25">
      <c r="A189" s="15" t="s">
        <v>42</v>
      </c>
      <c r="B189" s="17">
        <f t="shared" si="12"/>
        <v>42348</v>
      </c>
      <c r="C189" s="15">
        <v>1</v>
      </c>
      <c r="D189" s="16" t="s">
        <v>321</v>
      </c>
      <c r="E189" s="16">
        <v>3.8</v>
      </c>
      <c r="F189" s="16">
        <f>10 * ( LN( E189 + 1) /3.4)</f>
        <v>4.6135762291583688</v>
      </c>
      <c r="G189" s="16">
        <f>F189</f>
        <v>4.6135762291583688</v>
      </c>
    </row>
    <row r="190" spans="1:7" x14ac:dyDescent="0.25">
      <c r="A190" s="15" t="s">
        <v>42</v>
      </c>
      <c r="B190" s="17">
        <f t="shared" si="12"/>
        <v>42348</v>
      </c>
      <c r="C190" s="15">
        <v>1</v>
      </c>
      <c r="D190" s="16" t="s">
        <v>322</v>
      </c>
      <c r="E190" s="16">
        <v>0</v>
      </c>
      <c r="F190" s="16">
        <f>10 * E190 /7</f>
        <v>0</v>
      </c>
      <c r="G190" s="16">
        <f>F190</f>
        <v>0</v>
      </c>
    </row>
    <row r="191" spans="1:7" x14ac:dyDescent="0.25">
      <c r="A191" s="15" t="s">
        <v>42</v>
      </c>
      <c r="B191" s="17">
        <f t="shared" si="12"/>
        <v>42348</v>
      </c>
      <c r="C191" s="15">
        <v>1</v>
      </c>
      <c r="D191" s="16" t="s">
        <v>323</v>
      </c>
      <c r="E191" s="16">
        <v>9.1</v>
      </c>
      <c r="F191" s="16">
        <f>10-(10*(LN(E191+1)-0.7)/4)</f>
        <v>5.9686614403819656</v>
      </c>
      <c r="G191" s="15">
        <v>5.87</v>
      </c>
    </row>
    <row r="192" spans="1:7" x14ac:dyDescent="0.25">
      <c r="A192" s="15" t="s">
        <v>42</v>
      </c>
      <c r="B192" s="17">
        <f t="shared" si="12"/>
        <v>42348</v>
      </c>
      <c r="C192" s="15">
        <v>2</v>
      </c>
      <c r="D192" s="16" t="s">
        <v>314</v>
      </c>
      <c r="E192" s="16">
        <v>17</v>
      </c>
      <c r="F192" s="16">
        <f>10 * (E192-15)/24</f>
        <v>0.83333333333333337</v>
      </c>
      <c r="G192" s="15">
        <v>1.25</v>
      </c>
    </row>
    <row r="193" spans="1:7" x14ac:dyDescent="0.25">
      <c r="A193" s="15" t="s">
        <v>42</v>
      </c>
      <c r="B193" s="17">
        <f t="shared" si="12"/>
        <v>42348</v>
      </c>
      <c r="C193" s="15">
        <v>2</v>
      </c>
      <c r="D193" s="16" t="s">
        <v>315</v>
      </c>
      <c r="E193" s="16">
        <v>1</v>
      </c>
      <c r="F193" s="16">
        <f>10 * E193 /5</f>
        <v>2</v>
      </c>
      <c r="G193" s="16">
        <f>F193</f>
        <v>2</v>
      </c>
    </row>
    <row r="194" spans="1:7" x14ac:dyDescent="0.25">
      <c r="A194" s="15" t="s">
        <v>42</v>
      </c>
      <c r="B194" s="17">
        <f t="shared" si="12"/>
        <v>42348</v>
      </c>
      <c r="C194" s="15">
        <v>2</v>
      </c>
      <c r="D194" s="16" t="s">
        <v>316</v>
      </c>
      <c r="E194" s="16">
        <v>2</v>
      </c>
      <c r="F194" s="16">
        <f>10 * E194 /7</f>
        <v>2.8571428571428572</v>
      </c>
      <c r="G194" s="16">
        <f t="shared" ref="G194:G200" si="13">F194</f>
        <v>2.8571428571428572</v>
      </c>
    </row>
    <row r="195" spans="1:7" x14ac:dyDescent="0.25">
      <c r="A195" s="15" t="s">
        <v>42</v>
      </c>
      <c r="B195" s="17">
        <f t="shared" si="12"/>
        <v>42348</v>
      </c>
      <c r="C195" s="15">
        <v>2</v>
      </c>
      <c r="D195" s="16" t="s">
        <v>317</v>
      </c>
      <c r="E195" s="16">
        <v>31.9</v>
      </c>
      <c r="F195" s="16">
        <f>10 * (E195-0.7)/43</f>
        <v>7.2558139534883717</v>
      </c>
      <c r="G195" s="16">
        <f t="shared" si="13"/>
        <v>7.2558139534883717</v>
      </c>
    </row>
    <row r="196" spans="1:7" x14ac:dyDescent="0.25">
      <c r="A196" s="15" t="s">
        <v>42</v>
      </c>
      <c r="B196" s="17">
        <f t="shared" si="12"/>
        <v>42348</v>
      </c>
      <c r="C196" s="15">
        <v>2</v>
      </c>
      <c r="D196" s="16" t="s">
        <v>318</v>
      </c>
      <c r="E196" s="16">
        <v>4</v>
      </c>
      <c r="F196" s="16">
        <f>10 * E196/7</f>
        <v>5.7142857142857144</v>
      </c>
      <c r="G196" s="16">
        <f t="shared" si="13"/>
        <v>5.7142857142857144</v>
      </c>
    </row>
    <row r="197" spans="1:7" x14ac:dyDescent="0.25">
      <c r="A197" s="15" t="s">
        <v>42</v>
      </c>
      <c r="B197" s="17">
        <f t="shared" si="12"/>
        <v>42348</v>
      </c>
      <c r="C197" s="15">
        <v>2</v>
      </c>
      <c r="D197" s="16" t="s">
        <v>319</v>
      </c>
      <c r="E197" s="16">
        <v>0</v>
      </c>
      <c r="F197" s="16">
        <f>10 * E197/3</f>
        <v>0</v>
      </c>
      <c r="G197" s="16">
        <f t="shared" si="13"/>
        <v>0</v>
      </c>
    </row>
    <row r="198" spans="1:7" x14ac:dyDescent="0.25">
      <c r="A198" s="15" t="s">
        <v>42</v>
      </c>
      <c r="B198" s="17">
        <f t="shared" si="12"/>
        <v>42348</v>
      </c>
      <c r="C198" s="15">
        <v>2</v>
      </c>
      <c r="D198" s="16" t="s">
        <v>320</v>
      </c>
      <c r="E198" s="16">
        <v>32.200000000000003</v>
      </c>
      <c r="F198" s="16">
        <f>10-(10*(E198-14)/50)</f>
        <v>6.3599999999999994</v>
      </c>
      <c r="G198" s="16">
        <f t="shared" si="13"/>
        <v>6.3599999999999994</v>
      </c>
    </row>
    <row r="199" spans="1:7" x14ac:dyDescent="0.25">
      <c r="A199" s="15" t="s">
        <v>42</v>
      </c>
      <c r="B199" s="17">
        <f t="shared" si="12"/>
        <v>42348</v>
      </c>
      <c r="C199" s="15">
        <v>2</v>
      </c>
      <c r="D199" s="16" t="s">
        <v>321</v>
      </c>
      <c r="E199" s="16">
        <v>4.5999999999999996</v>
      </c>
      <c r="F199" s="16">
        <f>10 * ( LN( E199 + 1) /3.4)</f>
        <v>5.0669605815914807</v>
      </c>
      <c r="G199" s="16">
        <f t="shared" si="13"/>
        <v>5.0669605815914807</v>
      </c>
    </row>
    <row r="200" spans="1:7" x14ac:dyDescent="0.25">
      <c r="A200" s="15" t="s">
        <v>42</v>
      </c>
      <c r="B200" s="17">
        <f t="shared" si="12"/>
        <v>42348</v>
      </c>
      <c r="C200" s="15">
        <v>2</v>
      </c>
      <c r="D200" s="16" t="s">
        <v>322</v>
      </c>
      <c r="E200" s="16">
        <v>0</v>
      </c>
      <c r="F200" s="16">
        <f>10 * E200 /7</f>
        <v>0</v>
      </c>
      <c r="G200" s="16">
        <f t="shared" si="13"/>
        <v>0</v>
      </c>
    </row>
    <row r="201" spans="1:7" x14ac:dyDescent="0.25">
      <c r="A201" s="15" t="s">
        <v>42</v>
      </c>
      <c r="B201" s="17">
        <f t="shared" si="12"/>
        <v>42348</v>
      </c>
      <c r="C201" s="15">
        <v>2</v>
      </c>
      <c r="D201" s="16" t="s">
        <v>323</v>
      </c>
      <c r="E201" s="16">
        <v>5.9</v>
      </c>
      <c r="F201" s="16">
        <f>10-(10*(LN(E201+1)-0.7)/4)</f>
        <v>6.9211964709919656</v>
      </c>
      <c r="G201" s="15">
        <v>6.68</v>
      </c>
    </row>
    <row r="202" spans="1:7" x14ac:dyDescent="0.25">
      <c r="A202" s="15" t="s">
        <v>45</v>
      </c>
      <c r="B202" s="17">
        <v>41773</v>
      </c>
      <c r="C202" s="15">
        <v>1</v>
      </c>
      <c r="D202" s="16" t="s">
        <v>314</v>
      </c>
      <c r="E202" s="16">
        <v>13</v>
      </c>
      <c r="F202" s="16">
        <f>10 * (E202-15)/24</f>
        <v>-0.83333333333333337</v>
      </c>
      <c r="G202" s="16">
        <f>F202</f>
        <v>-0.83333333333333337</v>
      </c>
    </row>
    <row r="203" spans="1:7" x14ac:dyDescent="0.25">
      <c r="A203" s="15" t="s">
        <v>45</v>
      </c>
      <c r="B203" s="17">
        <f>B202</f>
        <v>41773</v>
      </c>
      <c r="C203" s="15">
        <v>1</v>
      </c>
      <c r="D203" s="16" t="s">
        <v>315</v>
      </c>
      <c r="E203" s="16">
        <v>0</v>
      </c>
      <c r="F203" s="16">
        <f>10 * E203 /5</f>
        <v>0</v>
      </c>
      <c r="G203" s="16">
        <f t="shared" ref="G203:G221" si="14">F203</f>
        <v>0</v>
      </c>
    </row>
    <row r="204" spans="1:7" x14ac:dyDescent="0.25">
      <c r="A204" s="15" t="s">
        <v>45</v>
      </c>
      <c r="B204" s="17">
        <f t="shared" ref="B204:B221" si="15">B203</f>
        <v>41773</v>
      </c>
      <c r="C204" s="15">
        <v>1</v>
      </c>
      <c r="D204" s="16" t="s">
        <v>316</v>
      </c>
      <c r="E204" s="16">
        <v>2</v>
      </c>
      <c r="F204" s="16">
        <f>10 * E204 /7</f>
        <v>2.8571428571428572</v>
      </c>
      <c r="G204" s="16">
        <f t="shared" si="14"/>
        <v>2.8571428571428572</v>
      </c>
    </row>
    <row r="205" spans="1:7" x14ac:dyDescent="0.25">
      <c r="A205" s="15" t="s">
        <v>45</v>
      </c>
      <c r="B205" s="17">
        <f t="shared" si="15"/>
        <v>41773</v>
      </c>
      <c r="C205" s="15">
        <v>1</v>
      </c>
      <c r="D205" s="16" t="s">
        <v>317</v>
      </c>
      <c r="E205" s="16">
        <v>40.700000000000003</v>
      </c>
      <c r="F205" s="16">
        <f>10 * (E205-0.7)/43</f>
        <v>9.3023255813953494</v>
      </c>
      <c r="G205" s="16">
        <f t="shared" si="14"/>
        <v>9.3023255813953494</v>
      </c>
    </row>
    <row r="206" spans="1:7" x14ac:dyDescent="0.25">
      <c r="A206" s="15" t="s">
        <v>45</v>
      </c>
      <c r="B206" s="17">
        <f t="shared" si="15"/>
        <v>41773</v>
      </c>
      <c r="C206" s="15">
        <v>1</v>
      </c>
      <c r="D206" s="16" t="s">
        <v>318</v>
      </c>
      <c r="E206" s="16">
        <v>1</v>
      </c>
      <c r="F206" s="16">
        <f>10 * E206/7</f>
        <v>1.4285714285714286</v>
      </c>
      <c r="G206" s="16">
        <f t="shared" si="14"/>
        <v>1.4285714285714286</v>
      </c>
    </row>
    <row r="207" spans="1:7" x14ac:dyDescent="0.25">
      <c r="A207" s="15" t="s">
        <v>45</v>
      </c>
      <c r="B207" s="17">
        <f t="shared" si="15"/>
        <v>41773</v>
      </c>
      <c r="C207" s="15">
        <v>1</v>
      </c>
      <c r="D207" s="16" t="s">
        <v>319</v>
      </c>
      <c r="E207" s="16">
        <v>0</v>
      </c>
      <c r="F207" s="16">
        <f>10 * E207/3</f>
        <v>0</v>
      </c>
      <c r="G207" s="16">
        <f t="shared" si="14"/>
        <v>0</v>
      </c>
    </row>
    <row r="208" spans="1:7" x14ac:dyDescent="0.25">
      <c r="A208" s="15" t="s">
        <v>45</v>
      </c>
      <c r="B208" s="17">
        <f t="shared" si="15"/>
        <v>41773</v>
      </c>
      <c r="C208" s="15">
        <v>1</v>
      </c>
      <c r="D208" s="16" t="s">
        <v>320</v>
      </c>
      <c r="E208" s="16">
        <v>40</v>
      </c>
      <c r="F208" s="16">
        <f>10-(10*(E208-14)/50)</f>
        <v>4.8</v>
      </c>
      <c r="G208" s="16">
        <f t="shared" si="14"/>
        <v>4.8</v>
      </c>
    </row>
    <row r="209" spans="1:7" x14ac:dyDescent="0.25">
      <c r="A209" s="15" t="s">
        <v>45</v>
      </c>
      <c r="B209" s="17">
        <f t="shared" si="15"/>
        <v>41773</v>
      </c>
      <c r="C209" s="15">
        <v>1</v>
      </c>
      <c r="D209" s="16" t="s">
        <v>321</v>
      </c>
      <c r="E209" s="16">
        <v>0</v>
      </c>
      <c r="F209" s="16">
        <f>10 * ( LN( E209 + 1) /3.4)</f>
        <v>0</v>
      </c>
      <c r="G209" s="16">
        <f t="shared" si="14"/>
        <v>0</v>
      </c>
    </row>
    <row r="210" spans="1:7" x14ac:dyDescent="0.25">
      <c r="A210" s="15" t="s">
        <v>45</v>
      </c>
      <c r="B210" s="17">
        <f t="shared" si="15"/>
        <v>41773</v>
      </c>
      <c r="C210" s="15">
        <v>1</v>
      </c>
      <c r="D210" s="16" t="s">
        <v>322</v>
      </c>
      <c r="E210" s="16">
        <v>0</v>
      </c>
      <c r="F210" s="16">
        <f>10 * E210 /7</f>
        <v>0</v>
      </c>
      <c r="G210" s="16">
        <f t="shared" si="14"/>
        <v>0</v>
      </c>
    </row>
    <row r="211" spans="1:7" x14ac:dyDescent="0.25">
      <c r="A211" s="15" t="s">
        <v>45</v>
      </c>
      <c r="B211" s="17">
        <f t="shared" si="15"/>
        <v>41773</v>
      </c>
      <c r="C211" s="15">
        <v>1</v>
      </c>
      <c r="D211" s="16" t="s">
        <v>323</v>
      </c>
      <c r="E211" s="16">
        <v>9.3000000000000007</v>
      </c>
      <c r="F211" s="16">
        <f>10-(10*(LN(E211+1)-0.7)/4)</f>
        <v>5.9196402619110247</v>
      </c>
      <c r="G211" s="16">
        <f t="shared" si="14"/>
        <v>5.9196402619110247</v>
      </c>
    </row>
    <row r="212" spans="1:7" x14ac:dyDescent="0.25">
      <c r="A212" s="15" t="s">
        <v>45</v>
      </c>
      <c r="B212" s="17">
        <f t="shared" si="15"/>
        <v>41773</v>
      </c>
      <c r="C212" s="15">
        <v>2</v>
      </c>
      <c r="D212" s="16" t="s">
        <v>314</v>
      </c>
      <c r="E212" s="16">
        <v>9</v>
      </c>
      <c r="F212" s="16">
        <f>10 * (E212-15)/24</f>
        <v>-2.5</v>
      </c>
      <c r="G212" s="16">
        <f t="shared" si="14"/>
        <v>-2.5</v>
      </c>
    </row>
    <row r="213" spans="1:7" x14ac:dyDescent="0.25">
      <c r="A213" s="15" t="s">
        <v>45</v>
      </c>
      <c r="B213" s="17">
        <f t="shared" si="15"/>
        <v>41773</v>
      </c>
      <c r="C213" s="15">
        <v>2</v>
      </c>
      <c r="D213" s="16" t="s">
        <v>315</v>
      </c>
      <c r="E213" s="16">
        <v>0</v>
      </c>
      <c r="F213" s="16">
        <f>10 * E213 /5</f>
        <v>0</v>
      </c>
      <c r="G213" s="16">
        <f t="shared" si="14"/>
        <v>0</v>
      </c>
    </row>
    <row r="214" spans="1:7" x14ac:dyDescent="0.25">
      <c r="A214" s="15" t="s">
        <v>45</v>
      </c>
      <c r="B214" s="17">
        <f t="shared" si="15"/>
        <v>41773</v>
      </c>
      <c r="C214" s="15">
        <v>2</v>
      </c>
      <c r="D214" s="16" t="s">
        <v>316</v>
      </c>
      <c r="E214" s="16">
        <v>2</v>
      </c>
      <c r="F214" s="16">
        <f>10 * E214 /7</f>
        <v>2.8571428571428572</v>
      </c>
      <c r="G214" s="16">
        <f t="shared" si="14"/>
        <v>2.8571428571428572</v>
      </c>
    </row>
    <row r="215" spans="1:7" x14ac:dyDescent="0.25">
      <c r="A215" s="15" t="s">
        <v>45</v>
      </c>
      <c r="B215" s="17">
        <f t="shared" si="15"/>
        <v>41773</v>
      </c>
      <c r="C215" s="15">
        <v>2</v>
      </c>
      <c r="D215" s="16" t="s">
        <v>317</v>
      </c>
      <c r="E215" s="16">
        <v>0</v>
      </c>
      <c r="F215" s="16">
        <f>10 * (E215-0.7)/43</f>
        <v>-0.16279069767441862</v>
      </c>
      <c r="G215" s="16">
        <f t="shared" si="14"/>
        <v>-0.16279069767441862</v>
      </c>
    </row>
    <row r="216" spans="1:7" x14ac:dyDescent="0.25">
      <c r="A216" s="15" t="s">
        <v>45</v>
      </c>
      <c r="B216" s="17">
        <f t="shared" si="15"/>
        <v>41773</v>
      </c>
      <c r="C216" s="15">
        <v>2</v>
      </c>
      <c r="D216" s="16" t="s">
        <v>318</v>
      </c>
      <c r="E216" s="16">
        <v>2</v>
      </c>
      <c r="F216" s="16">
        <f>10 * E216/7</f>
        <v>2.8571428571428572</v>
      </c>
      <c r="G216" s="16">
        <f t="shared" si="14"/>
        <v>2.8571428571428572</v>
      </c>
    </row>
    <row r="217" spans="1:7" x14ac:dyDescent="0.25">
      <c r="A217" s="15" t="s">
        <v>45</v>
      </c>
      <c r="B217" s="17">
        <f t="shared" si="15"/>
        <v>41773</v>
      </c>
      <c r="C217" s="15">
        <v>2</v>
      </c>
      <c r="D217" s="16" t="s">
        <v>319</v>
      </c>
      <c r="E217" s="16">
        <v>0</v>
      </c>
      <c r="F217" s="16">
        <f>10 * E217/3</f>
        <v>0</v>
      </c>
      <c r="G217" s="16">
        <f t="shared" si="14"/>
        <v>0</v>
      </c>
    </row>
    <row r="218" spans="1:7" x14ac:dyDescent="0.25">
      <c r="A218" s="15" t="s">
        <v>45</v>
      </c>
      <c r="B218" s="17">
        <f t="shared" si="15"/>
        <v>41773</v>
      </c>
      <c r="C218" s="15">
        <v>2</v>
      </c>
      <c r="D218" s="16" t="s">
        <v>320</v>
      </c>
      <c r="E218" s="16">
        <v>42.5</v>
      </c>
      <c r="F218" s="16">
        <f>10-(10*(E218-14)/50)</f>
        <v>4.3</v>
      </c>
      <c r="G218" s="16">
        <f t="shared" si="14"/>
        <v>4.3</v>
      </c>
    </row>
    <row r="219" spans="1:7" x14ac:dyDescent="0.25">
      <c r="A219" s="15" t="s">
        <v>45</v>
      </c>
      <c r="B219" s="17">
        <f t="shared" si="15"/>
        <v>41773</v>
      </c>
      <c r="C219" s="15">
        <v>2</v>
      </c>
      <c r="D219" s="16" t="s">
        <v>321</v>
      </c>
      <c r="E219" s="16">
        <v>0</v>
      </c>
      <c r="F219" s="16">
        <f>10 * ( LN( E219 + 1) /3.4)</f>
        <v>0</v>
      </c>
      <c r="G219" s="16">
        <f t="shared" si="14"/>
        <v>0</v>
      </c>
    </row>
    <row r="220" spans="1:7" x14ac:dyDescent="0.25">
      <c r="A220" s="15" t="s">
        <v>45</v>
      </c>
      <c r="B220" s="17">
        <f t="shared" si="15"/>
        <v>41773</v>
      </c>
      <c r="C220" s="15">
        <v>2</v>
      </c>
      <c r="D220" s="16" t="s">
        <v>322</v>
      </c>
      <c r="E220" s="16">
        <v>0</v>
      </c>
      <c r="F220" s="16">
        <f>10 * E220 /7</f>
        <v>0</v>
      </c>
      <c r="G220" s="16">
        <f t="shared" si="14"/>
        <v>0</v>
      </c>
    </row>
    <row r="221" spans="1:7" x14ac:dyDescent="0.25">
      <c r="A221" s="15" t="s">
        <v>45</v>
      </c>
      <c r="B221" s="17">
        <f t="shared" si="15"/>
        <v>41773</v>
      </c>
      <c r="C221" s="15">
        <v>2</v>
      </c>
      <c r="D221" s="16" t="s">
        <v>323</v>
      </c>
      <c r="E221" s="16">
        <v>3.4</v>
      </c>
      <c r="F221" s="16">
        <f>10-(10*(LN(E221+1)-0.7)/4)</f>
        <v>8.0459886476894606</v>
      </c>
      <c r="G221" s="16">
        <f t="shared" si="14"/>
        <v>8.0459886476894606</v>
      </c>
    </row>
    <row r="222" spans="1:7" x14ac:dyDescent="0.25">
      <c r="A222" s="15" t="s">
        <v>45</v>
      </c>
      <c r="B222" s="17">
        <v>41940</v>
      </c>
      <c r="C222" s="15">
        <v>1</v>
      </c>
      <c r="D222" s="16" t="s">
        <v>314</v>
      </c>
      <c r="E222" s="16">
        <v>22</v>
      </c>
      <c r="F222" s="16">
        <f>10 * (E222-15)/24</f>
        <v>2.9166666666666665</v>
      </c>
      <c r="G222" s="16">
        <f>F222</f>
        <v>2.9166666666666665</v>
      </c>
    </row>
    <row r="223" spans="1:7" x14ac:dyDescent="0.25">
      <c r="A223" s="15" t="s">
        <v>45</v>
      </c>
      <c r="B223" s="17">
        <f>B222</f>
        <v>41940</v>
      </c>
      <c r="C223" s="15">
        <v>1</v>
      </c>
      <c r="D223" s="16" t="s">
        <v>315</v>
      </c>
      <c r="E223" s="16">
        <v>0</v>
      </c>
      <c r="F223" s="16">
        <f>10 * E223 /5</f>
        <v>0</v>
      </c>
      <c r="G223" s="16">
        <f t="shared" ref="G223:G241" si="16">F223</f>
        <v>0</v>
      </c>
    </row>
    <row r="224" spans="1:7" x14ac:dyDescent="0.25">
      <c r="A224" s="15" t="s">
        <v>45</v>
      </c>
      <c r="B224" s="17">
        <f t="shared" ref="B224:B241" si="17">B223</f>
        <v>41940</v>
      </c>
      <c r="C224" s="15">
        <v>1</v>
      </c>
      <c r="D224" s="16" t="s">
        <v>316</v>
      </c>
      <c r="E224" s="16">
        <v>2</v>
      </c>
      <c r="F224" s="16">
        <f>10 * E224 /7</f>
        <v>2.8571428571428572</v>
      </c>
      <c r="G224" s="16">
        <f t="shared" si="16"/>
        <v>2.8571428571428572</v>
      </c>
    </row>
    <row r="225" spans="1:7" x14ac:dyDescent="0.25">
      <c r="A225" s="15" t="s">
        <v>45</v>
      </c>
      <c r="B225" s="17">
        <f t="shared" si="17"/>
        <v>41940</v>
      </c>
      <c r="C225" s="15">
        <v>1</v>
      </c>
      <c r="D225" s="16" t="s">
        <v>317</v>
      </c>
      <c r="E225" s="16">
        <v>11.8</v>
      </c>
      <c r="F225" s="16">
        <f>10 * (E225-0.7)/43</f>
        <v>2.5813953488372094</v>
      </c>
      <c r="G225" s="16">
        <f t="shared" si="16"/>
        <v>2.5813953488372094</v>
      </c>
    </row>
    <row r="226" spans="1:7" x14ac:dyDescent="0.25">
      <c r="A226" s="15" t="s">
        <v>45</v>
      </c>
      <c r="B226" s="17">
        <f t="shared" si="17"/>
        <v>41940</v>
      </c>
      <c r="C226" s="15">
        <v>1</v>
      </c>
      <c r="D226" s="16" t="s">
        <v>318</v>
      </c>
      <c r="E226" s="16">
        <v>2</v>
      </c>
      <c r="F226" s="16">
        <f>10 * E226/7</f>
        <v>2.8571428571428572</v>
      </c>
      <c r="G226" s="16">
        <f t="shared" si="16"/>
        <v>2.8571428571428572</v>
      </c>
    </row>
    <row r="227" spans="1:7" x14ac:dyDescent="0.25">
      <c r="A227" s="15" t="s">
        <v>45</v>
      </c>
      <c r="B227" s="17">
        <f t="shared" si="17"/>
        <v>41940</v>
      </c>
      <c r="C227" s="15">
        <v>1</v>
      </c>
      <c r="D227" s="16" t="s">
        <v>319</v>
      </c>
      <c r="E227" s="16">
        <v>2</v>
      </c>
      <c r="F227" s="16">
        <f>10 * E227/3</f>
        <v>6.666666666666667</v>
      </c>
      <c r="G227" s="16">
        <f t="shared" si="16"/>
        <v>6.666666666666667</v>
      </c>
    </row>
    <row r="228" spans="1:7" x14ac:dyDescent="0.25">
      <c r="A228" s="15" t="s">
        <v>45</v>
      </c>
      <c r="B228" s="17">
        <f t="shared" si="17"/>
        <v>41940</v>
      </c>
      <c r="C228" s="15">
        <v>1</v>
      </c>
      <c r="D228" s="16" t="s">
        <v>320</v>
      </c>
      <c r="E228" s="16">
        <v>15.5</v>
      </c>
      <c r="F228" s="16">
        <f>10-(10*(E228-14)/50)</f>
        <v>9.6999999999999993</v>
      </c>
      <c r="G228" s="16">
        <f t="shared" si="16"/>
        <v>9.6999999999999993</v>
      </c>
    </row>
    <row r="229" spans="1:7" x14ac:dyDescent="0.25">
      <c r="A229" s="15" t="s">
        <v>45</v>
      </c>
      <c r="B229" s="17">
        <f t="shared" si="17"/>
        <v>41940</v>
      </c>
      <c r="C229" s="15">
        <v>1</v>
      </c>
      <c r="D229" s="16" t="s">
        <v>321</v>
      </c>
      <c r="E229" s="16">
        <v>0.7</v>
      </c>
      <c r="F229" s="16">
        <f>10 * ( LN( E229 + 1) /3.4)</f>
        <v>1.5606713266534422</v>
      </c>
      <c r="G229" s="16">
        <f t="shared" si="16"/>
        <v>1.5606713266534422</v>
      </c>
    </row>
    <row r="230" spans="1:7" x14ac:dyDescent="0.25">
      <c r="A230" s="15" t="s">
        <v>45</v>
      </c>
      <c r="B230" s="17">
        <f t="shared" si="17"/>
        <v>41940</v>
      </c>
      <c r="C230" s="15">
        <v>1</v>
      </c>
      <c r="D230" s="16" t="s">
        <v>322</v>
      </c>
      <c r="E230" s="16">
        <v>0</v>
      </c>
      <c r="F230" s="16">
        <f>10 * E230 /7</f>
        <v>0</v>
      </c>
      <c r="G230" s="16">
        <f t="shared" si="16"/>
        <v>0</v>
      </c>
    </row>
    <row r="231" spans="1:7" x14ac:dyDescent="0.25">
      <c r="A231" s="15" t="s">
        <v>45</v>
      </c>
      <c r="B231" s="17">
        <f t="shared" si="17"/>
        <v>41940</v>
      </c>
      <c r="C231" s="15">
        <v>1</v>
      </c>
      <c r="D231" s="16" t="s">
        <v>323</v>
      </c>
      <c r="E231" s="16">
        <v>25</v>
      </c>
      <c r="F231" s="16">
        <f>10-(10*(LN(E231+1)-0.7)/4)</f>
        <v>3.604758654946294</v>
      </c>
      <c r="G231" s="16">
        <f t="shared" si="16"/>
        <v>3.604758654946294</v>
      </c>
    </row>
    <row r="232" spans="1:7" x14ac:dyDescent="0.25">
      <c r="A232" s="15" t="s">
        <v>45</v>
      </c>
      <c r="B232" s="17">
        <f t="shared" si="17"/>
        <v>41940</v>
      </c>
      <c r="C232" s="15">
        <v>2</v>
      </c>
      <c r="D232" s="16" t="s">
        <v>314</v>
      </c>
      <c r="E232" s="16">
        <v>21</v>
      </c>
      <c r="F232" s="16">
        <f>10 * (E232-15)/24</f>
        <v>2.5</v>
      </c>
      <c r="G232" s="16">
        <f t="shared" si="16"/>
        <v>2.5</v>
      </c>
    </row>
    <row r="233" spans="1:7" x14ac:dyDescent="0.25">
      <c r="A233" s="15" t="s">
        <v>45</v>
      </c>
      <c r="B233" s="17">
        <f t="shared" si="17"/>
        <v>41940</v>
      </c>
      <c r="C233" s="15">
        <v>2</v>
      </c>
      <c r="D233" s="16" t="s">
        <v>315</v>
      </c>
      <c r="E233" s="16">
        <v>1</v>
      </c>
      <c r="F233" s="16">
        <f>10 * E233 /5</f>
        <v>2</v>
      </c>
      <c r="G233" s="16">
        <f t="shared" si="16"/>
        <v>2</v>
      </c>
    </row>
    <row r="234" spans="1:7" x14ac:dyDescent="0.25">
      <c r="A234" s="15" t="s">
        <v>45</v>
      </c>
      <c r="B234" s="17">
        <f t="shared" si="17"/>
        <v>41940</v>
      </c>
      <c r="C234" s="15">
        <v>2</v>
      </c>
      <c r="D234" s="16" t="s">
        <v>316</v>
      </c>
      <c r="E234" s="16">
        <v>2</v>
      </c>
      <c r="F234" s="16">
        <f>10 * E234 /7</f>
        <v>2.8571428571428572</v>
      </c>
      <c r="G234" s="16">
        <f t="shared" si="16"/>
        <v>2.8571428571428572</v>
      </c>
    </row>
    <row r="235" spans="1:7" x14ac:dyDescent="0.25">
      <c r="A235" s="15" t="s">
        <v>45</v>
      </c>
      <c r="B235" s="17">
        <f t="shared" si="17"/>
        <v>41940</v>
      </c>
      <c r="C235" s="15">
        <v>2</v>
      </c>
      <c r="D235" s="16" t="s">
        <v>317</v>
      </c>
      <c r="E235" s="16">
        <v>9.9</v>
      </c>
      <c r="F235" s="16">
        <f>10 * (E235-0.7)/43</f>
        <v>2.1395348837209305</v>
      </c>
      <c r="G235" s="16">
        <f t="shared" si="16"/>
        <v>2.1395348837209305</v>
      </c>
    </row>
    <row r="236" spans="1:7" x14ac:dyDescent="0.25">
      <c r="A236" s="15" t="s">
        <v>45</v>
      </c>
      <c r="B236" s="17">
        <f t="shared" si="17"/>
        <v>41940</v>
      </c>
      <c r="C236" s="15">
        <v>2</v>
      </c>
      <c r="D236" s="16" t="s">
        <v>318</v>
      </c>
      <c r="E236" s="16">
        <v>2</v>
      </c>
      <c r="F236" s="16">
        <f>10 * E236/7</f>
        <v>2.8571428571428572</v>
      </c>
      <c r="G236" s="16">
        <f t="shared" si="16"/>
        <v>2.8571428571428572</v>
      </c>
    </row>
    <row r="237" spans="1:7" x14ac:dyDescent="0.25">
      <c r="A237" s="15" t="s">
        <v>45</v>
      </c>
      <c r="B237" s="17">
        <f t="shared" si="17"/>
        <v>41940</v>
      </c>
      <c r="C237" s="15">
        <v>2</v>
      </c>
      <c r="D237" s="16" t="s">
        <v>319</v>
      </c>
      <c r="E237" s="16">
        <v>0</v>
      </c>
      <c r="F237" s="16">
        <f>10 * E237/3</f>
        <v>0</v>
      </c>
      <c r="G237" s="16">
        <f t="shared" si="16"/>
        <v>0</v>
      </c>
    </row>
    <row r="238" spans="1:7" x14ac:dyDescent="0.25">
      <c r="A238" s="15" t="s">
        <v>45</v>
      </c>
      <c r="B238" s="17">
        <f t="shared" si="17"/>
        <v>41940</v>
      </c>
      <c r="C238" s="15">
        <v>2</v>
      </c>
      <c r="D238" s="16" t="s">
        <v>320</v>
      </c>
      <c r="E238" s="16">
        <v>16.3</v>
      </c>
      <c r="F238" s="16">
        <f>10-(10*(E238-14)/50)</f>
        <v>9.5399999999999991</v>
      </c>
      <c r="G238" s="16">
        <f t="shared" si="16"/>
        <v>9.5399999999999991</v>
      </c>
    </row>
    <row r="239" spans="1:7" x14ac:dyDescent="0.25">
      <c r="A239" s="15" t="s">
        <v>45</v>
      </c>
      <c r="B239" s="17">
        <f t="shared" si="17"/>
        <v>41940</v>
      </c>
      <c r="C239" s="15">
        <v>2</v>
      </c>
      <c r="D239" s="16" t="s">
        <v>321</v>
      </c>
      <c r="E239" s="16">
        <v>0</v>
      </c>
      <c r="F239" s="16">
        <f>10 * ( LN( E239 + 1) /3.4)</f>
        <v>0</v>
      </c>
      <c r="G239" s="16">
        <f t="shared" si="16"/>
        <v>0</v>
      </c>
    </row>
    <row r="240" spans="1:7" x14ac:dyDescent="0.25">
      <c r="A240" s="15" t="s">
        <v>45</v>
      </c>
      <c r="B240" s="17">
        <f t="shared" si="17"/>
        <v>41940</v>
      </c>
      <c r="C240" s="15">
        <v>2</v>
      </c>
      <c r="D240" s="16" t="s">
        <v>322</v>
      </c>
      <c r="E240" s="16">
        <v>0</v>
      </c>
      <c r="F240" s="16">
        <f>10 * E240 /7</f>
        <v>0</v>
      </c>
      <c r="G240" s="16">
        <f t="shared" si="16"/>
        <v>0</v>
      </c>
    </row>
    <row r="241" spans="1:7" x14ac:dyDescent="0.25">
      <c r="A241" s="15" t="s">
        <v>45</v>
      </c>
      <c r="B241" s="17">
        <f t="shared" si="17"/>
        <v>41940</v>
      </c>
      <c r="C241" s="15">
        <v>2</v>
      </c>
      <c r="D241" s="16" t="s">
        <v>323</v>
      </c>
      <c r="E241" s="16">
        <v>17.7</v>
      </c>
      <c r="F241" s="16">
        <f>10-(10*(LN(E241+1)-0.7)/4)</f>
        <v>4.4286911903486477</v>
      </c>
      <c r="G241" s="16">
        <f t="shared" si="16"/>
        <v>4.4286911903486477</v>
      </c>
    </row>
    <row r="242" spans="1:7" x14ac:dyDescent="0.25">
      <c r="A242" s="15" t="s">
        <v>45</v>
      </c>
      <c r="B242" s="17">
        <v>41942</v>
      </c>
      <c r="C242" s="15">
        <v>1</v>
      </c>
      <c r="D242" s="16" t="s">
        <v>314</v>
      </c>
      <c r="E242" s="16">
        <v>19</v>
      </c>
      <c r="F242" s="16">
        <f>10 * (E242-15)/24</f>
        <v>1.6666666666666667</v>
      </c>
      <c r="G242" s="16">
        <f>F242</f>
        <v>1.6666666666666667</v>
      </c>
    </row>
    <row r="243" spans="1:7" x14ac:dyDescent="0.25">
      <c r="A243" s="15" t="s">
        <v>45</v>
      </c>
      <c r="B243" s="17">
        <f>B242</f>
        <v>41942</v>
      </c>
      <c r="C243" s="15">
        <v>1</v>
      </c>
      <c r="D243" s="16" t="s">
        <v>315</v>
      </c>
      <c r="E243" s="16">
        <v>1</v>
      </c>
      <c r="F243" s="16">
        <f>10 * E243 /5</f>
        <v>2</v>
      </c>
      <c r="G243" s="16">
        <f t="shared" ref="G243:G261" si="18">F243</f>
        <v>2</v>
      </c>
    </row>
    <row r="244" spans="1:7" x14ac:dyDescent="0.25">
      <c r="A244" s="15" t="s">
        <v>45</v>
      </c>
      <c r="B244" s="17">
        <f t="shared" ref="B244:B261" si="19">B243</f>
        <v>41942</v>
      </c>
      <c r="C244" s="15">
        <v>1</v>
      </c>
      <c r="D244" s="16" t="s">
        <v>316</v>
      </c>
      <c r="E244" s="16">
        <v>2</v>
      </c>
      <c r="F244" s="16">
        <f>10 * E244 /7</f>
        <v>2.8571428571428572</v>
      </c>
      <c r="G244" s="16">
        <f t="shared" si="18"/>
        <v>2.8571428571428572</v>
      </c>
    </row>
    <row r="245" spans="1:7" x14ac:dyDescent="0.25">
      <c r="A245" s="15" t="s">
        <v>45</v>
      </c>
      <c r="B245" s="17">
        <f t="shared" si="19"/>
        <v>41942</v>
      </c>
      <c r="C245" s="15">
        <v>1</v>
      </c>
      <c r="D245" s="16" t="s">
        <v>317</v>
      </c>
      <c r="E245" s="16">
        <v>3.8</v>
      </c>
      <c r="F245" s="16">
        <f>10 * (E245-0.7)/43</f>
        <v>0.72093023255813948</v>
      </c>
      <c r="G245" s="16">
        <f t="shared" si="18"/>
        <v>0.72093023255813948</v>
      </c>
    </row>
    <row r="246" spans="1:7" x14ac:dyDescent="0.25">
      <c r="A246" s="15" t="s">
        <v>45</v>
      </c>
      <c r="B246" s="17">
        <f t="shared" si="19"/>
        <v>41942</v>
      </c>
      <c r="C246" s="15">
        <v>1</v>
      </c>
      <c r="D246" s="16" t="s">
        <v>318</v>
      </c>
      <c r="E246" s="16">
        <v>1</v>
      </c>
      <c r="F246" s="16">
        <f>10 * E246/7</f>
        <v>1.4285714285714286</v>
      </c>
      <c r="G246" s="16">
        <f t="shared" si="18"/>
        <v>1.4285714285714286</v>
      </c>
    </row>
    <row r="247" spans="1:7" x14ac:dyDescent="0.25">
      <c r="A247" s="15" t="s">
        <v>45</v>
      </c>
      <c r="B247" s="17">
        <f t="shared" si="19"/>
        <v>41942</v>
      </c>
      <c r="C247" s="15">
        <v>1</v>
      </c>
      <c r="D247" s="16" t="s">
        <v>319</v>
      </c>
      <c r="E247" s="16">
        <v>1</v>
      </c>
      <c r="F247" s="16">
        <f>10 * E247/3</f>
        <v>3.3333333333333335</v>
      </c>
      <c r="G247" s="16">
        <f t="shared" si="18"/>
        <v>3.3333333333333335</v>
      </c>
    </row>
    <row r="248" spans="1:7" x14ac:dyDescent="0.25">
      <c r="A248" s="15" t="s">
        <v>45</v>
      </c>
      <c r="B248" s="17">
        <f t="shared" si="19"/>
        <v>41942</v>
      </c>
      <c r="C248" s="15">
        <v>1</v>
      </c>
      <c r="D248" s="16" t="s">
        <v>320</v>
      </c>
      <c r="E248" s="16">
        <v>74.3</v>
      </c>
      <c r="F248" s="16">
        <f>10-(10*(E248-14)/50)</f>
        <v>-2.0600000000000005</v>
      </c>
      <c r="G248" s="16">
        <f t="shared" si="18"/>
        <v>-2.0600000000000005</v>
      </c>
    </row>
    <row r="249" spans="1:7" x14ac:dyDescent="0.25">
      <c r="A249" s="15" t="s">
        <v>45</v>
      </c>
      <c r="B249" s="17">
        <f t="shared" si="19"/>
        <v>41942</v>
      </c>
      <c r="C249" s="15">
        <v>1</v>
      </c>
      <c r="D249" s="16" t="s">
        <v>321</v>
      </c>
      <c r="E249" s="16">
        <v>0</v>
      </c>
      <c r="F249" s="16">
        <f>10 * ( LN( E249 + 1) /3.4)</f>
        <v>0</v>
      </c>
      <c r="G249" s="16">
        <f t="shared" si="18"/>
        <v>0</v>
      </c>
    </row>
    <row r="250" spans="1:7" x14ac:dyDescent="0.25">
      <c r="A250" s="15" t="s">
        <v>45</v>
      </c>
      <c r="B250" s="17">
        <f t="shared" si="19"/>
        <v>41942</v>
      </c>
      <c r="C250" s="15">
        <v>1</v>
      </c>
      <c r="D250" s="16" t="s">
        <v>322</v>
      </c>
      <c r="E250" s="16">
        <v>0</v>
      </c>
      <c r="F250" s="16">
        <f>10 * E250 /7</f>
        <v>0</v>
      </c>
      <c r="G250" s="16">
        <f t="shared" si="18"/>
        <v>0</v>
      </c>
    </row>
    <row r="251" spans="1:7" x14ac:dyDescent="0.25">
      <c r="A251" s="15" t="s">
        <v>45</v>
      </c>
      <c r="B251" s="17">
        <f t="shared" si="19"/>
        <v>41942</v>
      </c>
      <c r="C251" s="15">
        <v>1</v>
      </c>
      <c r="D251" s="16" t="s">
        <v>323</v>
      </c>
      <c r="E251" s="16">
        <v>8.3000000000000007</v>
      </c>
      <c r="F251" s="16">
        <f>10-(10*(LN(E251+1)-0.7)/4)</f>
        <v>6.1749639996019745</v>
      </c>
      <c r="G251" s="16">
        <f t="shared" si="18"/>
        <v>6.1749639996019745</v>
      </c>
    </row>
    <row r="252" spans="1:7" x14ac:dyDescent="0.25">
      <c r="A252" s="15" t="s">
        <v>45</v>
      </c>
      <c r="B252" s="17">
        <f t="shared" si="19"/>
        <v>41942</v>
      </c>
      <c r="C252" s="15">
        <v>2</v>
      </c>
      <c r="D252" s="16" t="s">
        <v>314</v>
      </c>
      <c r="E252" s="16">
        <v>12</v>
      </c>
      <c r="F252" s="16">
        <f>10 * (E252-15)/24</f>
        <v>-1.25</v>
      </c>
      <c r="G252" s="16">
        <f t="shared" si="18"/>
        <v>-1.25</v>
      </c>
    </row>
    <row r="253" spans="1:7" x14ac:dyDescent="0.25">
      <c r="A253" s="15" t="s">
        <v>45</v>
      </c>
      <c r="B253" s="17">
        <f t="shared" si="19"/>
        <v>41942</v>
      </c>
      <c r="C253" s="15">
        <v>2</v>
      </c>
      <c r="D253" s="16" t="s">
        <v>315</v>
      </c>
      <c r="E253" s="16">
        <v>0</v>
      </c>
      <c r="F253" s="16">
        <f>10 * E253 /5</f>
        <v>0</v>
      </c>
      <c r="G253" s="16">
        <f t="shared" si="18"/>
        <v>0</v>
      </c>
    </row>
    <row r="254" spans="1:7" x14ac:dyDescent="0.25">
      <c r="A254" s="15" t="s">
        <v>45</v>
      </c>
      <c r="B254" s="17">
        <f t="shared" si="19"/>
        <v>41942</v>
      </c>
      <c r="C254" s="15">
        <v>2</v>
      </c>
      <c r="D254" s="16" t="s">
        <v>316</v>
      </c>
      <c r="E254" s="16">
        <v>2</v>
      </c>
      <c r="F254" s="16">
        <f>10 * E254 /7</f>
        <v>2.8571428571428572</v>
      </c>
      <c r="G254" s="16">
        <f t="shared" si="18"/>
        <v>2.8571428571428572</v>
      </c>
    </row>
    <row r="255" spans="1:7" x14ac:dyDescent="0.25">
      <c r="A255" s="15" t="s">
        <v>45</v>
      </c>
      <c r="B255" s="17">
        <f t="shared" si="19"/>
        <v>41942</v>
      </c>
      <c r="C255" s="15">
        <v>2</v>
      </c>
      <c r="D255" s="16" t="s">
        <v>317</v>
      </c>
      <c r="E255" s="16">
        <v>0.6</v>
      </c>
      <c r="F255" s="16">
        <f>10 * (E255-0.7)/43</f>
        <v>-2.3255813953488368E-2</v>
      </c>
      <c r="G255" s="16">
        <f t="shared" si="18"/>
        <v>-2.3255813953488368E-2</v>
      </c>
    </row>
    <row r="256" spans="1:7" x14ac:dyDescent="0.25">
      <c r="A256" s="15" t="s">
        <v>45</v>
      </c>
      <c r="B256" s="17">
        <f t="shared" si="19"/>
        <v>41942</v>
      </c>
      <c r="C256" s="15">
        <v>2</v>
      </c>
      <c r="D256" s="16" t="s">
        <v>318</v>
      </c>
      <c r="E256" s="16">
        <v>1</v>
      </c>
      <c r="F256" s="16">
        <f>10 * E256/7</f>
        <v>1.4285714285714286</v>
      </c>
      <c r="G256" s="16">
        <f t="shared" si="18"/>
        <v>1.4285714285714286</v>
      </c>
    </row>
    <row r="257" spans="1:7" x14ac:dyDescent="0.25">
      <c r="A257" s="15" t="s">
        <v>45</v>
      </c>
      <c r="B257" s="17">
        <f t="shared" si="19"/>
        <v>41942</v>
      </c>
      <c r="C257" s="15">
        <v>2</v>
      </c>
      <c r="D257" s="16" t="s">
        <v>319</v>
      </c>
      <c r="E257" s="16">
        <v>0</v>
      </c>
      <c r="F257" s="16">
        <f>10 * E257/3</f>
        <v>0</v>
      </c>
      <c r="G257" s="16">
        <f t="shared" si="18"/>
        <v>0</v>
      </c>
    </row>
    <row r="258" spans="1:7" x14ac:dyDescent="0.25">
      <c r="A258" s="15" t="s">
        <v>45</v>
      </c>
      <c r="B258" s="17">
        <f t="shared" si="19"/>
        <v>41942</v>
      </c>
      <c r="C258" s="15">
        <v>2</v>
      </c>
      <c r="D258" s="16" t="s">
        <v>320</v>
      </c>
      <c r="E258" s="16">
        <v>83.7</v>
      </c>
      <c r="F258" s="16">
        <f>10-(10*(E258-14)/50)</f>
        <v>-3.9399999999999995</v>
      </c>
      <c r="G258" s="16">
        <f t="shared" si="18"/>
        <v>-3.9399999999999995</v>
      </c>
    </row>
    <row r="259" spans="1:7" x14ac:dyDescent="0.25">
      <c r="A259" s="15" t="s">
        <v>45</v>
      </c>
      <c r="B259" s="17">
        <f t="shared" si="19"/>
        <v>41942</v>
      </c>
      <c r="C259" s="15">
        <v>2</v>
      </c>
      <c r="D259" s="16" t="s">
        <v>321</v>
      </c>
      <c r="E259" s="16">
        <v>0</v>
      </c>
      <c r="F259" s="16">
        <f>10 * ( LN( E259 + 1) /3.4)</f>
        <v>0</v>
      </c>
      <c r="G259" s="16">
        <f t="shared" si="18"/>
        <v>0</v>
      </c>
    </row>
    <row r="260" spans="1:7" x14ac:dyDescent="0.25">
      <c r="A260" s="15" t="s">
        <v>45</v>
      </c>
      <c r="B260" s="17">
        <f t="shared" si="19"/>
        <v>41942</v>
      </c>
      <c r="C260" s="15">
        <v>2</v>
      </c>
      <c r="D260" s="16" t="s">
        <v>322</v>
      </c>
      <c r="E260" s="16">
        <v>0</v>
      </c>
      <c r="F260" s="16">
        <f>10 * E260 /7</f>
        <v>0</v>
      </c>
      <c r="G260" s="16">
        <f t="shared" si="18"/>
        <v>0</v>
      </c>
    </row>
    <row r="261" spans="1:7" x14ac:dyDescent="0.25">
      <c r="A261" s="15" t="s">
        <v>45</v>
      </c>
      <c r="B261" s="17">
        <f t="shared" si="19"/>
        <v>41942</v>
      </c>
      <c r="C261" s="15">
        <v>2</v>
      </c>
      <c r="D261" s="16" t="s">
        <v>323</v>
      </c>
      <c r="E261" s="16">
        <v>5.9</v>
      </c>
      <c r="F261" s="16">
        <f>10-(10*(LN(E261+1)-0.7)/4)</f>
        <v>6.9211964709919656</v>
      </c>
      <c r="G261" s="16">
        <f t="shared" si="18"/>
        <v>6.9211964709919656</v>
      </c>
    </row>
    <row r="262" spans="1:7" x14ac:dyDescent="0.25">
      <c r="A262" s="15" t="s">
        <v>454</v>
      </c>
      <c r="B262" s="17">
        <v>41940</v>
      </c>
      <c r="C262" s="15">
        <v>1</v>
      </c>
      <c r="D262" s="16" t="s">
        <v>314</v>
      </c>
      <c r="E262" s="16">
        <v>23</v>
      </c>
      <c r="F262" s="16">
        <f>10 * (E262-15)/24</f>
        <v>3.3333333333333335</v>
      </c>
      <c r="G262" s="16">
        <f>F262</f>
        <v>3.3333333333333335</v>
      </c>
    </row>
    <row r="263" spans="1:7" x14ac:dyDescent="0.25">
      <c r="A263" s="15" t="s">
        <v>454</v>
      </c>
      <c r="B263" s="17">
        <f>B262</f>
        <v>41940</v>
      </c>
      <c r="C263" s="15">
        <v>1</v>
      </c>
      <c r="D263" s="16" t="s">
        <v>315</v>
      </c>
      <c r="E263" s="16">
        <v>0</v>
      </c>
      <c r="F263" s="16">
        <f>10 * E263 /5</f>
        <v>0</v>
      </c>
      <c r="G263" s="16">
        <f t="shared" ref="G263:G277" si="20">F263</f>
        <v>0</v>
      </c>
    </row>
    <row r="264" spans="1:7" x14ac:dyDescent="0.25">
      <c r="A264" s="15" t="s">
        <v>454</v>
      </c>
      <c r="B264" s="17">
        <f t="shared" ref="B264:B281" si="21">B263</f>
        <v>41940</v>
      </c>
      <c r="C264" s="15">
        <v>1</v>
      </c>
      <c r="D264" s="16" t="s">
        <v>316</v>
      </c>
      <c r="E264" s="16">
        <v>2</v>
      </c>
      <c r="F264" s="16">
        <f>10 * E264 /7</f>
        <v>2.8571428571428572</v>
      </c>
      <c r="G264" s="16">
        <f t="shared" si="20"/>
        <v>2.8571428571428572</v>
      </c>
    </row>
    <row r="265" spans="1:7" x14ac:dyDescent="0.25">
      <c r="A265" s="15" t="s">
        <v>454</v>
      </c>
      <c r="B265" s="17">
        <f t="shared" si="21"/>
        <v>41940</v>
      </c>
      <c r="C265" s="15">
        <v>1</v>
      </c>
      <c r="D265" s="16" t="s">
        <v>317</v>
      </c>
      <c r="E265" s="16">
        <v>3.5</v>
      </c>
      <c r="F265" s="16">
        <f>10 * (E265-0.7)/43</f>
        <v>0.65116279069767447</v>
      </c>
      <c r="G265" s="16">
        <f t="shared" si="20"/>
        <v>0.65116279069767447</v>
      </c>
    </row>
    <row r="266" spans="1:7" x14ac:dyDescent="0.25">
      <c r="A266" s="15" t="s">
        <v>454</v>
      </c>
      <c r="B266" s="17">
        <f t="shared" si="21"/>
        <v>41940</v>
      </c>
      <c r="C266" s="15">
        <v>1</v>
      </c>
      <c r="D266" s="16" t="s">
        <v>318</v>
      </c>
      <c r="E266" s="16">
        <v>3</v>
      </c>
      <c r="F266" s="16">
        <f>10 * E266/7</f>
        <v>4.2857142857142856</v>
      </c>
      <c r="G266" s="16">
        <f t="shared" si="20"/>
        <v>4.2857142857142856</v>
      </c>
    </row>
    <row r="267" spans="1:7" x14ac:dyDescent="0.25">
      <c r="A267" s="15" t="s">
        <v>454</v>
      </c>
      <c r="B267" s="17">
        <f t="shared" si="21"/>
        <v>41940</v>
      </c>
      <c r="C267" s="15">
        <v>1</v>
      </c>
      <c r="D267" s="16" t="s">
        <v>319</v>
      </c>
      <c r="E267" s="16">
        <v>0</v>
      </c>
      <c r="F267" s="16">
        <f>10 * E267/3</f>
        <v>0</v>
      </c>
      <c r="G267" s="16">
        <f t="shared" si="20"/>
        <v>0</v>
      </c>
    </row>
    <row r="268" spans="1:7" x14ac:dyDescent="0.25">
      <c r="A268" s="15" t="s">
        <v>454</v>
      </c>
      <c r="B268" s="17">
        <f t="shared" si="21"/>
        <v>41940</v>
      </c>
      <c r="C268" s="15">
        <v>1</v>
      </c>
      <c r="D268" s="16" t="s">
        <v>320</v>
      </c>
      <c r="E268" s="16">
        <v>48.6</v>
      </c>
      <c r="F268" s="16">
        <f>10-(10*(E268-14)/50)</f>
        <v>3.08</v>
      </c>
      <c r="G268" s="16">
        <f t="shared" si="20"/>
        <v>3.08</v>
      </c>
    </row>
    <row r="269" spans="1:7" x14ac:dyDescent="0.25">
      <c r="A269" s="15" t="s">
        <v>454</v>
      </c>
      <c r="B269" s="17">
        <f t="shared" si="21"/>
        <v>41940</v>
      </c>
      <c r="C269" s="15">
        <v>1</v>
      </c>
      <c r="D269" s="16" t="s">
        <v>321</v>
      </c>
      <c r="E269" s="16">
        <v>0.7</v>
      </c>
      <c r="F269" s="16">
        <f>10 * ( LN( E269 + 1) /3.4)</f>
        <v>1.5606713266534422</v>
      </c>
      <c r="G269" s="16">
        <f t="shared" si="20"/>
        <v>1.5606713266534422</v>
      </c>
    </row>
    <row r="270" spans="1:7" x14ac:dyDescent="0.25">
      <c r="A270" s="15" t="s">
        <v>454</v>
      </c>
      <c r="B270" s="17">
        <f t="shared" si="21"/>
        <v>41940</v>
      </c>
      <c r="C270" s="15">
        <v>1</v>
      </c>
      <c r="D270" s="16" t="s">
        <v>322</v>
      </c>
      <c r="E270" s="16">
        <v>0</v>
      </c>
      <c r="F270" s="16">
        <f>10 * E270 /7</f>
        <v>0</v>
      </c>
      <c r="G270" s="16">
        <f t="shared" si="20"/>
        <v>0</v>
      </c>
    </row>
    <row r="271" spans="1:7" x14ac:dyDescent="0.25">
      <c r="A271" s="15" t="s">
        <v>454</v>
      </c>
      <c r="B271" s="17">
        <f t="shared" si="21"/>
        <v>41940</v>
      </c>
      <c r="C271" s="15">
        <v>1</v>
      </c>
      <c r="D271" s="16" t="s">
        <v>323</v>
      </c>
      <c r="E271" s="16">
        <v>75</v>
      </c>
      <c r="F271" s="16">
        <f>10-(10*(LN(E271+1)-0.7)/4)</f>
        <v>0.92316664928417325</v>
      </c>
      <c r="G271" s="16">
        <f t="shared" si="20"/>
        <v>0.92316664928417325</v>
      </c>
    </row>
    <row r="272" spans="1:7" x14ac:dyDescent="0.25">
      <c r="A272" s="15" t="s">
        <v>454</v>
      </c>
      <c r="B272" s="17">
        <f t="shared" si="21"/>
        <v>41940</v>
      </c>
      <c r="C272" s="15">
        <v>2</v>
      </c>
      <c r="D272" s="16" t="s">
        <v>314</v>
      </c>
      <c r="E272" s="16">
        <v>18</v>
      </c>
      <c r="F272" s="16">
        <f>10 * (E272-15)/24</f>
        <v>1.25</v>
      </c>
      <c r="G272" s="16">
        <f t="shared" si="20"/>
        <v>1.25</v>
      </c>
    </row>
    <row r="273" spans="1:7" x14ac:dyDescent="0.25">
      <c r="A273" s="15" t="s">
        <v>454</v>
      </c>
      <c r="B273" s="17">
        <f t="shared" si="21"/>
        <v>41940</v>
      </c>
      <c r="C273" s="15">
        <v>2</v>
      </c>
      <c r="D273" s="16" t="s">
        <v>315</v>
      </c>
      <c r="E273" s="16">
        <v>0</v>
      </c>
      <c r="F273" s="16">
        <f>10 * E273 /5</f>
        <v>0</v>
      </c>
      <c r="G273" s="16">
        <f t="shared" si="20"/>
        <v>0</v>
      </c>
    </row>
    <row r="274" spans="1:7" x14ac:dyDescent="0.25">
      <c r="A274" s="15" t="s">
        <v>454</v>
      </c>
      <c r="B274" s="17">
        <f t="shared" si="21"/>
        <v>41940</v>
      </c>
      <c r="C274" s="15">
        <v>2</v>
      </c>
      <c r="D274" s="16" t="s">
        <v>316</v>
      </c>
      <c r="E274" s="16">
        <v>2</v>
      </c>
      <c r="F274" s="16">
        <f>10 * E274 /7</f>
        <v>2.8571428571428572</v>
      </c>
      <c r="G274" s="16">
        <f t="shared" si="20"/>
        <v>2.8571428571428572</v>
      </c>
    </row>
    <row r="275" spans="1:7" x14ac:dyDescent="0.25">
      <c r="A275" s="15" t="s">
        <v>454</v>
      </c>
      <c r="B275" s="17">
        <f t="shared" si="21"/>
        <v>41940</v>
      </c>
      <c r="C275" s="15">
        <v>2</v>
      </c>
      <c r="D275" s="16" t="s">
        <v>317</v>
      </c>
      <c r="E275" s="16">
        <v>4</v>
      </c>
      <c r="F275" s="16">
        <f>10 * (E275-0.7)/43</f>
        <v>0.76744186046511631</v>
      </c>
      <c r="G275" s="16">
        <f t="shared" si="20"/>
        <v>0.76744186046511631</v>
      </c>
    </row>
    <row r="276" spans="1:7" x14ac:dyDescent="0.25">
      <c r="A276" s="15" t="s">
        <v>454</v>
      </c>
      <c r="B276" s="17">
        <f t="shared" si="21"/>
        <v>41940</v>
      </c>
      <c r="C276" s="15">
        <v>2</v>
      </c>
      <c r="D276" s="16" t="s">
        <v>318</v>
      </c>
      <c r="E276" s="16">
        <v>3</v>
      </c>
      <c r="F276" s="16">
        <f>10 * E276/7</f>
        <v>4.2857142857142856</v>
      </c>
      <c r="G276" s="16">
        <f t="shared" si="20"/>
        <v>4.2857142857142856</v>
      </c>
    </row>
    <row r="277" spans="1:7" x14ac:dyDescent="0.25">
      <c r="A277" s="15" t="s">
        <v>454</v>
      </c>
      <c r="B277" s="17">
        <f t="shared" si="21"/>
        <v>41940</v>
      </c>
      <c r="C277" s="15">
        <v>2</v>
      </c>
      <c r="D277" s="16" t="s">
        <v>319</v>
      </c>
      <c r="E277" s="16">
        <v>0</v>
      </c>
      <c r="F277" s="16">
        <f>10 * E277/3</f>
        <v>0</v>
      </c>
      <c r="G277" s="16">
        <f t="shared" si="20"/>
        <v>0</v>
      </c>
    </row>
    <row r="278" spans="1:7" x14ac:dyDescent="0.25">
      <c r="A278" s="15" t="s">
        <v>454</v>
      </c>
      <c r="B278" s="17">
        <f t="shared" si="21"/>
        <v>41940</v>
      </c>
      <c r="C278" s="15">
        <v>2</v>
      </c>
      <c r="D278" s="16" t="s">
        <v>320</v>
      </c>
      <c r="E278" s="16">
        <v>35.1</v>
      </c>
      <c r="F278" s="16">
        <f>10-(10*(E278-14)/50)</f>
        <v>5.78</v>
      </c>
      <c r="G278" s="16">
        <v>5.74</v>
      </c>
    </row>
    <row r="279" spans="1:7" x14ac:dyDescent="0.25">
      <c r="A279" s="15" t="s">
        <v>454</v>
      </c>
      <c r="B279" s="17">
        <f t="shared" si="21"/>
        <v>41940</v>
      </c>
      <c r="C279" s="15">
        <v>2</v>
      </c>
      <c r="D279" s="16" t="s">
        <v>321</v>
      </c>
      <c r="E279" s="16">
        <v>0.7</v>
      </c>
      <c r="F279" s="16">
        <f>10 * ( LN( E279 + 1) /3.4)</f>
        <v>1.5606713266534422</v>
      </c>
      <c r="G279" s="16">
        <v>1.38</v>
      </c>
    </row>
    <row r="280" spans="1:7" x14ac:dyDescent="0.25">
      <c r="A280" s="15" t="s">
        <v>454</v>
      </c>
      <c r="B280" s="17">
        <f t="shared" si="21"/>
        <v>41940</v>
      </c>
      <c r="C280" s="15">
        <v>2</v>
      </c>
      <c r="D280" s="16" t="s">
        <v>322</v>
      </c>
      <c r="E280" s="16">
        <v>0</v>
      </c>
      <c r="F280" s="16">
        <f>10 * E280 /7</f>
        <v>0</v>
      </c>
      <c r="G280" s="16">
        <f>F280</f>
        <v>0</v>
      </c>
    </row>
    <row r="281" spans="1:7" x14ac:dyDescent="0.25">
      <c r="A281" s="15" t="s">
        <v>454</v>
      </c>
      <c r="B281" s="17">
        <f t="shared" si="21"/>
        <v>41940</v>
      </c>
      <c r="C281" s="15">
        <v>2</v>
      </c>
      <c r="D281" s="16" t="s">
        <v>323</v>
      </c>
      <c r="E281" s="16">
        <v>66.2</v>
      </c>
      <c r="F281" s="16">
        <f>10-(10*(LN(E281+1)-0.7)/4)</f>
        <v>1.2308168811772404</v>
      </c>
      <c r="G281" s="16">
        <v>1.21</v>
      </c>
    </row>
    <row r="282" spans="1:7" x14ac:dyDescent="0.25">
      <c r="A282" s="15" t="s">
        <v>45</v>
      </c>
      <c r="B282" s="17">
        <v>41942</v>
      </c>
      <c r="C282" s="15">
        <v>1</v>
      </c>
      <c r="D282" s="16" t="s">
        <v>314</v>
      </c>
      <c r="E282" s="16">
        <v>23</v>
      </c>
      <c r="F282" s="16">
        <f>10 * (E282-15)/24</f>
        <v>3.3333333333333335</v>
      </c>
      <c r="G282" s="16">
        <f>F282</f>
        <v>3.3333333333333335</v>
      </c>
    </row>
    <row r="283" spans="1:7" x14ac:dyDescent="0.25">
      <c r="A283" s="15" t="s">
        <v>45</v>
      </c>
      <c r="B283" s="17">
        <f>B282</f>
        <v>41942</v>
      </c>
      <c r="C283" s="15">
        <v>1</v>
      </c>
      <c r="D283" s="16" t="s">
        <v>315</v>
      </c>
      <c r="E283" s="16">
        <v>1</v>
      </c>
      <c r="F283" s="16">
        <f>10 * E283 /5</f>
        <v>2</v>
      </c>
      <c r="G283" s="16">
        <f t="shared" ref="G283:G301" si="22">F283</f>
        <v>2</v>
      </c>
    </row>
    <row r="284" spans="1:7" x14ac:dyDescent="0.25">
      <c r="A284" s="15" t="s">
        <v>45</v>
      </c>
      <c r="B284" s="17">
        <f t="shared" ref="B284:B301" si="23">B283</f>
        <v>41942</v>
      </c>
      <c r="C284" s="15">
        <v>1</v>
      </c>
      <c r="D284" s="16" t="s">
        <v>316</v>
      </c>
      <c r="E284" s="16">
        <v>4</v>
      </c>
      <c r="F284" s="16">
        <f>10 * E284 /7</f>
        <v>5.7142857142857144</v>
      </c>
      <c r="G284" s="16">
        <f t="shared" si="22"/>
        <v>5.7142857142857144</v>
      </c>
    </row>
    <row r="285" spans="1:7" x14ac:dyDescent="0.25">
      <c r="A285" s="15" t="s">
        <v>45</v>
      </c>
      <c r="B285" s="17">
        <f t="shared" si="23"/>
        <v>41942</v>
      </c>
      <c r="C285" s="15">
        <v>1</v>
      </c>
      <c r="D285" s="16" t="s">
        <v>317</v>
      </c>
      <c r="E285" s="16">
        <v>7.6</v>
      </c>
      <c r="F285" s="16">
        <f>10 * (E285-0.7)/43</f>
        <v>1.6046511627906976</v>
      </c>
      <c r="G285" s="16">
        <f t="shared" si="22"/>
        <v>1.6046511627906976</v>
      </c>
    </row>
    <row r="286" spans="1:7" x14ac:dyDescent="0.25">
      <c r="A286" s="15" t="s">
        <v>45</v>
      </c>
      <c r="B286" s="17">
        <f t="shared" si="23"/>
        <v>41942</v>
      </c>
      <c r="C286" s="15">
        <v>1</v>
      </c>
      <c r="D286" s="16" t="s">
        <v>318</v>
      </c>
      <c r="E286" s="16">
        <v>3</v>
      </c>
      <c r="F286" s="16">
        <f>10 * E286/7</f>
        <v>4.2857142857142856</v>
      </c>
      <c r="G286" s="16">
        <f t="shared" si="22"/>
        <v>4.2857142857142856</v>
      </c>
    </row>
    <row r="287" spans="1:7" x14ac:dyDescent="0.25">
      <c r="A287" s="15" t="s">
        <v>45</v>
      </c>
      <c r="B287" s="17">
        <f t="shared" si="23"/>
        <v>41942</v>
      </c>
      <c r="C287" s="15">
        <v>1</v>
      </c>
      <c r="D287" s="16" t="s">
        <v>319</v>
      </c>
      <c r="E287" s="16">
        <v>0</v>
      </c>
      <c r="F287" s="16">
        <f>10 * E287/3</f>
        <v>0</v>
      </c>
      <c r="G287" s="16">
        <f t="shared" si="22"/>
        <v>0</v>
      </c>
    </row>
    <row r="288" spans="1:7" x14ac:dyDescent="0.25">
      <c r="A288" s="15" t="s">
        <v>45</v>
      </c>
      <c r="B288" s="17">
        <f t="shared" si="23"/>
        <v>41942</v>
      </c>
      <c r="C288" s="15">
        <v>1</v>
      </c>
      <c r="D288" s="16" t="s">
        <v>320</v>
      </c>
      <c r="E288" s="16">
        <v>39.5</v>
      </c>
      <c r="F288" s="16">
        <f>10-(10*(E288-14)/50)</f>
        <v>4.9000000000000004</v>
      </c>
      <c r="G288" s="16">
        <f t="shared" si="22"/>
        <v>4.9000000000000004</v>
      </c>
    </row>
    <row r="289" spans="1:7" x14ac:dyDescent="0.25">
      <c r="A289" s="15" t="s">
        <v>45</v>
      </c>
      <c r="B289" s="17">
        <f t="shared" si="23"/>
        <v>41942</v>
      </c>
      <c r="C289" s="15">
        <v>1</v>
      </c>
      <c r="D289" s="16" t="s">
        <v>321</v>
      </c>
      <c r="E289" s="16">
        <v>0.66</v>
      </c>
      <c r="F289" s="16">
        <f>10 * ( LN( E289 + 1) /3.4)</f>
        <v>1.4906400069660353</v>
      </c>
      <c r="G289" s="16">
        <f t="shared" si="22"/>
        <v>1.4906400069660353</v>
      </c>
    </row>
    <row r="290" spans="1:7" x14ac:dyDescent="0.25">
      <c r="A290" s="15" t="s">
        <v>45</v>
      </c>
      <c r="B290" s="17">
        <f t="shared" si="23"/>
        <v>41942</v>
      </c>
      <c r="C290" s="15">
        <v>1</v>
      </c>
      <c r="D290" s="16" t="s">
        <v>322</v>
      </c>
      <c r="E290" s="16">
        <v>0</v>
      </c>
      <c r="F290" s="16">
        <f>10 * E290 /7</f>
        <v>0</v>
      </c>
      <c r="G290" s="16">
        <f t="shared" si="22"/>
        <v>0</v>
      </c>
    </row>
    <row r="291" spans="1:7" x14ac:dyDescent="0.25">
      <c r="A291" s="15" t="s">
        <v>45</v>
      </c>
      <c r="B291" s="17">
        <f t="shared" si="23"/>
        <v>41942</v>
      </c>
      <c r="C291" s="15">
        <v>1</v>
      </c>
      <c r="D291" s="16" t="s">
        <v>323</v>
      </c>
      <c r="E291" s="16">
        <v>13.2</v>
      </c>
      <c r="F291" s="16">
        <f>10-(10*(LN(E291+1)-0.7)/4)</f>
        <v>5.1168950884819626</v>
      </c>
      <c r="G291" s="16">
        <f t="shared" si="22"/>
        <v>5.1168950884819626</v>
      </c>
    </row>
    <row r="292" spans="1:7" x14ac:dyDescent="0.25">
      <c r="A292" s="15" t="s">
        <v>45</v>
      </c>
      <c r="B292" s="17">
        <f t="shared" si="23"/>
        <v>41942</v>
      </c>
      <c r="C292" s="15">
        <v>2</v>
      </c>
      <c r="D292" s="16" t="s">
        <v>314</v>
      </c>
      <c r="E292" s="16">
        <v>16</v>
      </c>
      <c r="F292" s="16">
        <f>10 * (E292-15)/24</f>
        <v>0.41666666666666669</v>
      </c>
      <c r="G292" s="16">
        <f t="shared" si="22"/>
        <v>0.41666666666666669</v>
      </c>
    </row>
    <row r="293" spans="1:7" x14ac:dyDescent="0.25">
      <c r="A293" s="15" t="s">
        <v>45</v>
      </c>
      <c r="B293" s="17">
        <f t="shared" si="23"/>
        <v>41942</v>
      </c>
      <c r="C293" s="15">
        <v>2</v>
      </c>
      <c r="D293" s="16" t="s">
        <v>315</v>
      </c>
      <c r="E293" s="16">
        <v>1</v>
      </c>
      <c r="F293" s="16">
        <f>10 * E293 /5</f>
        <v>2</v>
      </c>
      <c r="G293" s="16">
        <f t="shared" si="22"/>
        <v>2</v>
      </c>
    </row>
    <row r="294" spans="1:7" x14ac:dyDescent="0.25">
      <c r="A294" s="15" t="s">
        <v>45</v>
      </c>
      <c r="B294" s="17">
        <f t="shared" si="23"/>
        <v>41942</v>
      </c>
      <c r="C294" s="15">
        <v>2</v>
      </c>
      <c r="D294" s="16" t="s">
        <v>316</v>
      </c>
      <c r="E294" s="16">
        <v>2</v>
      </c>
      <c r="F294" s="16">
        <f>10 * E294 /7</f>
        <v>2.8571428571428572</v>
      </c>
      <c r="G294" s="16">
        <f t="shared" si="22"/>
        <v>2.8571428571428572</v>
      </c>
    </row>
    <row r="295" spans="1:7" x14ac:dyDescent="0.25">
      <c r="A295" s="15" t="s">
        <v>45</v>
      </c>
      <c r="B295" s="17">
        <f t="shared" si="23"/>
        <v>41942</v>
      </c>
      <c r="C295" s="15">
        <v>2</v>
      </c>
      <c r="D295" s="16" t="s">
        <v>317</v>
      </c>
      <c r="E295" s="16">
        <v>6.3</v>
      </c>
      <c r="F295" s="16">
        <f>10 * (E295-0.7)/43</f>
        <v>1.3023255813953489</v>
      </c>
      <c r="G295" s="16">
        <f t="shared" si="22"/>
        <v>1.3023255813953489</v>
      </c>
    </row>
    <row r="296" spans="1:7" x14ac:dyDescent="0.25">
      <c r="A296" s="15" t="s">
        <v>45</v>
      </c>
      <c r="B296" s="17">
        <f t="shared" si="23"/>
        <v>41942</v>
      </c>
      <c r="C296" s="15">
        <v>2</v>
      </c>
      <c r="D296" s="16" t="s">
        <v>318</v>
      </c>
      <c r="E296" s="16">
        <v>2</v>
      </c>
      <c r="F296" s="16">
        <f>10 * E296/7</f>
        <v>2.8571428571428572</v>
      </c>
      <c r="G296" s="16">
        <f t="shared" si="22"/>
        <v>2.8571428571428572</v>
      </c>
    </row>
    <row r="297" spans="1:7" x14ac:dyDescent="0.25">
      <c r="A297" s="15" t="s">
        <v>45</v>
      </c>
      <c r="B297" s="17">
        <f t="shared" si="23"/>
        <v>41942</v>
      </c>
      <c r="C297" s="15">
        <v>2</v>
      </c>
      <c r="D297" s="16" t="s">
        <v>319</v>
      </c>
      <c r="E297" s="16">
        <v>0</v>
      </c>
      <c r="F297" s="16">
        <f>10 * E297/3</f>
        <v>0</v>
      </c>
      <c r="G297" s="16">
        <f t="shared" si="22"/>
        <v>0</v>
      </c>
    </row>
    <row r="298" spans="1:7" x14ac:dyDescent="0.25">
      <c r="A298" s="15" t="s">
        <v>45</v>
      </c>
      <c r="B298" s="17">
        <f t="shared" si="23"/>
        <v>41942</v>
      </c>
      <c r="C298" s="15">
        <v>2</v>
      </c>
      <c r="D298" s="16" t="s">
        <v>320</v>
      </c>
      <c r="E298" s="16">
        <v>41.2</v>
      </c>
      <c r="F298" s="16">
        <f>10-(10*(E298-14)/50)</f>
        <v>4.5599999999999996</v>
      </c>
      <c r="G298" s="16">
        <f t="shared" si="22"/>
        <v>4.5599999999999996</v>
      </c>
    </row>
    <row r="299" spans="1:7" x14ac:dyDescent="0.25">
      <c r="A299" s="15" t="s">
        <v>45</v>
      </c>
      <c r="B299" s="17">
        <f t="shared" si="23"/>
        <v>41942</v>
      </c>
      <c r="C299" s="15">
        <v>2</v>
      </c>
      <c r="D299" s="16" t="s">
        <v>321</v>
      </c>
      <c r="E299" s="16">
        <v>0</v>
      </c>
      <c r="F299" s="16">
        <f>10 * ( LN( E299 + 1) /3.4)</f>
        <v>0</v>
      </c>
      <c r="G299" s="16">
        <f t="shared" si="22"/>
        <v>0</v>
      </c>
    </row>
    <row r="300" spans="1:7" x14ac:dyDescent="0.25">
      <c r="A300" s="15" t="s">
        <v>45</v>
      </c>
      <c r="B300" s="17">
        <f t="shared" si="23"/>
        <v>41942</v>
      </c>
      <c r="C300" s="15">
        <v>2</v>
      </c>
      <c r="D300" s="16" t="s">
        <v>322</v>
      </c>
      <c r="E300" s="16">
        <v>0</v>
      </c>
      <c r="F300" s="16">
        <f>10 * E300 /7</f>
        <v>0</v>
      </c>
      <c r="G300" s="16">
        <f t="shared" si="22"/>
        <v>0</v>
      </c>
    </row>
    <row r="301" spans="1:7" x14ac:dyDescent="0.25">
      <c r="A301" s="15" t="s">
        <v>45</v>
      </c>
      <c r="B301" s="17">
        <f t="shared" si="23"/>
        <v>41942</v>
      </c>
      <c r="C301" s="15">
        <v>2</v>
      </c>
      <c r="D301" s="16" t="s">
        <v>323</v>
      </c>
      <c r="E301" s="16">
        <v>10.5</v>
      </c>
      <c r="F301" s="16">
        <f>10-(10*(LN(E301+1)-0.7)/4)</f>
        <v>5.6441324115769893</v>
      </c>
      <c r="G301" s="16">
        <f t="shared" si="22"/>
        <v>5.6441324115769893</v>
      </c>
    </row>
    <row r="302" spans="1:7" x14ac:dyDescent="0.25">
      <c r="A302" s="15" t="s">
        <v>48</v>
      </c>
      <c r="B302" s="17">
        <v>41752</v>
      </c>
      <c r="C302" s="15">
        <v>1</v>
      </c>
      <c r="D302" s="16" t="s">
        <v>314</v>
      </c>
      <c r="E302" s="16">
        <v>24</v>
      </c>
      <c r="F302" s="15">
        <v>3.75</v>
      </c>
      <c r="G302" s="15">
        <v>3.75</v>
      </c>
    </row>
    <row r="303" spans="1:7" x14ac:dyDescent="0.25">
      <c r="A303" s="15" t="s">
        <v>48</v>
      </c>
      <c r="B303" s="17">
        <f>B302</f>
        <v>41752</v>
      </c>
      <c r="C303" s="15">
        <v>1</v>
      </c>
      <c r="D303" s="16" t="s">
        <v>315</v>
      </c>
      <c r="E303" s="16">
        <v>1</v>
      </c>
      <c r="F303" s="16">
        <v>2</v>
      </c>
      <c r="G303" s="16">
        <v>2</v>
      </c>
    </row>
    <row r="304" spans="1:7" x14ac:dyDescent="0.25">
      <c r="A304" s="15" t="s">
        <v>48</v>
      </c>
      <c r="B304" s="17">
        <f t="shared" ref="B304:B321" si="24">B303</f>
        <v>41752</v>
      </c>
      <c r="C304" s="15">
        <v>1</v>
      </c>
      <c r="D304" s="16" t="s">
        <v>316</v>
      </c>
      <c r="E304" s="16">
        <v>2</v>
      </c>
      <c r="F304" s="16">
        <v>2.8571</v>
      </c>
      <c r="G304" s="16">
        <v>2.8571</v>
      </c>
    </row>
    <row r="305" spans="1:7" x14ac:dyDescent="0.25">
      <c r="A305" s="15" t="s">
        <v>48</v>
      </c>
      <c r="B305" s="17">
        <f t="shared" si="24"/>
        <v>41752</v>
      </c>
      <c r="C305" s="15">
        <v>1</v>
      </c>
      <c r="D305" s="16" t="s">
        <v>317</v>
      </c>
      <c r="E305" s="16">
        <v>34.6</v>
      </c>
      <c r="F305" s="16">
        <v>7.8837200000000003</v>
      </c>
      <c r="G305" s="16">
        <v>7.8837200000000003</v>
      </c>
    </row>
    <row r="306" spans="1:7" x14ac:dyDescent="0.25">
      <c r="A306" s="15" t="s">
        <v>48</v>
      </c>
      <c r="B306" s="17">
        <f t="shared" si="24"/>
        <v>41752</v>
      </c>
      <c r="C306" s="15">
        <v>1</v>
      </c>
      <c r="D306" s="16" t="s">
        <v>318</v>
      </c>
      <c r="E306" s="16">
        <v>3</v>
      </c>
      <c r="F306" s="16">
        <v>4.2857099999999999</v>
      </c>
      <c r="G306" s="16">
        <v>4.2857099999999999</v>
      </c>
    </row>
    <row r="307" spans="1:7" x14ac:dyDescent="0.25">
      <c r="A307" s="15" t="s">
        <v>48</v>
      </c>
      <c r="B307" s="17">
        <f t="shared" si="24"/>
        <v>41752</v>
      </c>
      <c r="C307" s="15">
        <v>1</v>
      </c>
      <c r="D307" s="16" t="s">
        <v>319</v>
      </c>
      <c r="E307" s="16">
        <v>0</v>
      </c>
      <c r="F307" s="16">
        <v>0</v>
      </c>
      <c r="G307" s="16">
        <v>0</v>
      </c>
    </row>
    <row r="308" spans="1:7" x14ac:dyDescent="0.25">
      <c r="A308" s="15" t="s">
        <v>48</v>
      </c>
      <c r="B308" s="17">
        <f t="shared" si="24"/>
        <v>41752</v>
      </c>
      <c r="C308" s="15">
        <v>1</v>
      </c>
      <c r="D308" s="16" t="s">
        <v>320</v>
      </c>
      <c r="E308" s="16">
        <v>26.1</v>
      </c>
      <c r="F308" s="16">
        <v>7.58</v>
      </c>
      <c r="G308" s="16">
        <v>7.58</v>
      </c>
    </row>
    <row r="309" spans="1:7" x14ac:dyDescent="0.25">
      <c r="A309" s="15" t="s">
        <v>48</v>
      </c>
      <c r="B309" s="17">
        <f t="shared" si="24"/>
        <v>41752</v>
      </c>
      <c r="C309" s="15">
        <v>1</v>
      </c>
      <c r="D309" s="16" t="s">
        <v>321</v>
      </c>
      <c r="E309" s="16">
        <v>7.8</v>
      </c>
      <c r="F309" s="16">
        <v>6.3933</v>
      </c>
      <c r="G309" s="16">
        <v>6.3933</v>
      </c>
    </row>
    <row r="310" spans="1:7" x14ac:dyDescent="0.25">
      <c r="A310" s="15" t="s">
        <v>48</v>
      </c>
      <c r="B310" s="17">
        <f t="shared" si="24"/>
        <v>41752</v>
      </c>
      <c r="C310" s="15">
        <v>1</v>
      </c>
      <c r="D310" s="16" t="s">
        <v>322</v>
      </c>
      <c r="E310" s="16">
        <v>0</v>
      </c>
      <c r="F310" s="16">
        <v>0</v>
      </c>
      <c r="G310" s="16">
        <v>0</v>
      </c>
    </row>
    <row r="311" spans="1:7" x14ac:dyDescent="0.25">
      <c r="A311" s="15" t="s">
        <v>48</v>
      </c>
      <c r="B311" s="17">
        <f t="shared" si="24"/>
        <v>41752</v>
      </c>
      <c r="C311" s="15">
        <v>1</v>
      </c>
      <c r="D311" s="16" t="s">
        <v>323</v>
      </c>
      <c r="E311" s="16">
        <v>8.5</v>
      </c>
      <c r="F311" s="16">
        <v>6.1217699999999997</v>
      </c>
      <c r="G311" s="16">
        <v>5.3763899999999998</v>
      </c>
    </row>
    <row r="312" spans="1:7" x14ac:dyDescent="0.25">
      <c r="A312" s="15" t="s">
        <v>48</v>
      </c>
      <c r="B312" s="17">
        <f t="shared" si="24"/>
        <v>41752</v>
      </c>
      <c r="C312" s="15">
        <v>2</v>
      </c>
      <c r="D312" s="16" t="s">
        <v>314</v>
      </c>
      <c r="E312" s="15">
        <v>18</v>
      </c>
      <c r="F312" s="16">
        <v>1.25</v>
      </c>
      <c r="G312" s="16">
        <v>1.25</v>
      </c>
    </row>
    <row r="313" spans="1:7" x14ac:dyDescent="0.25">
      <c r="A313" s="15" t="s">
        <v>48</v>
      </c>
      <c r="B313" s="17">
        <f t="shared" si="24"/>
        <v>41752</v>
      </c>
      <c r="C313" s="15">
        <v>2</v>
      </c>
      <c r="D313" s="16" t="s">
        <v>315</v>
      </c>
      <c r="E313" s="16">
        <v>1</v>
      </c>
      <c r="F313" s="16">
        <v>2</v>
      </c>
      <c r="G313" s="16">
        <v>2</v>
      </c>
    </row>
    <row r="314" spans="1:7" x14ac:dyDescent="0.25">
      <c r="A314" s="15" t="s">
        <v>48</v>
      </c>
      <c r="B314" s="17">
        <f t="shared" si="24"/>
        <v>41752</v>
      </c>
      <c r="C314" s="15">
        <v>2</v>
      </c>
      <c r="D314" s="16" t="s">
        <v>316</v>
      </c>
      <c r="E314" s="16">
        <v>1</v>
      </c>
      <c r="F314" s="16">
        <v>1.4285699999999999</v>
      </c>
      <c r="G314" s="16">
        <v>1.4285699999999999</v>
      </c>
    </row>
    <row r="315" spans="1:7" x14ac:dyDescent="0.25">
      <c r="A315" s="15" t="s">
        <v>48</v>
      </c>
      <c r="B315" s="17">
        <f t="shared" si="24"/>
        <v>41752</v>
      </c>
      <c r="C315" s="15">
        <v>2</v>
      </c>
      <c r="D315" s="16" t="s">
        <v>317</v>
      </c>
      <c r="E315" s="16">
        <v>34.700000000000003</v>
      </c>
      <c r="F315" s="16">
        <v>7.9069799999999999</v>
      </c>
      <c r="G315" s="16">
        <v>7.9069799999999999</v>
      </c>
    </row>
    <row r="316" spans="1:7" x14ac:dyDescent="0.25">
      <c r="A316" s="15" t="s">
        <v>48</v>
      </c>
      <c r="B316" s="17">
        <f t="shared" si="24"/>
        <v>41752</v>
      </c>
      <c r="C316" s="15">
        <v>2</v>
      </c>
      <c r="D316" s="16" t="s">
        <v>318</v>
      </c>
      <c r="E316" s="16">
        <v>3</v>
      </c>
      <c r="F316" s="16">
        <v>3.3333300000000001</v>
      </c>
      <c r="G316" s="16">
        <v>3.3333300000000001</v>
      </c>
    </row>
    <row r="317" spans="1:7" x14ac:dyDescent="0.25">
      <c r="A317" s="15" t="s">
        <v>48</v>
      </c>
      <c r="B317" s="17">
        <f t="shared" si="24"/>
        <v>41752</v>
      </c>
      <c r="C317" s="15">
        <v>2</v>
      </c>
      <c r="D317" s="16" t="s">
        <v>319</v>
      </c>
      <c r="E317" s="16">
        <v>1</v>
      </c>
      <c r="F317" s="16">
        <v>4.2857099999999999</v>
      </c>
      <c r="G317" s="16">
        <v>4.2857099999999999</v>
      </c>
    </row>
    <row r="318" spans="1:7" x14ac:dyDescent="0.25">
      <c r="A318" s="15" t="s">
        <v>48</v>
      </c>
      <c r="B318" s="17">
        <f t="shared" si="24"/>
        <v>41752</v>
      </c>
      <c r="C318" s="15">
        <v>2</v>
      </c>
      <c r="D318" s="16" t="s">
        <v>320</v>
      </c>
      <c r="E318" s="16">
        <v>22.7</v>
      </c>
      <c r="F318" s="16">
        <v>8.26</v>
      </c>
      <c r="G318" s="16">
        <v>8.26</v>
      </c>
    </row>
    <row r="319" spans="1:7" x14ac:dyDescent="0.25">
      <c r="A319" s="15" t="s">
        <v>48</v>
      </c>
      <c r="B319" s="17">
        <f t="shared" si="24"/>
        <v>41752</v>
      </c>
      <c r="C319" s="15">
        <v>2</v>
      </c>
      <c r="D319" s="16" t="s">
        <v>321</v>
      </c>
      <c r="E319" s="16">
        <v>11.3</v>
      </c>
      <c r="F319" s="16">
        <v>7.38117</v>
      </c>
      <c r="G319" s="16">
        <v>7.38117</v>
      </c>
    </row>
    <row r="320" spans="1:7" x14ac:dyDescent="0.25">
      <c r="A320" s="15" t="s">
        <v>48</v>
      </c>
      <c r="B320" s="17">
        <f t="shared" si="24"/>
        <v>41752</v>
      </c>
      <c r="C320" s="15">
        <v>2</v>
      </c>
      <c r="D320" s="16" t="s">
        <v>322</v>
      </c>
      <c r="E320" s="16">
        <v>0</v>
      </c>
      <c r="F320" s="16">
        <v>0</v>
      </c>
      <c r="G320" s="16">
        <v>0</v>
      </c>
    </row>
    <row r="321" spans="1:7" x14ac:dyDescent="0.25">
      <c r="A321" s="15" t="s">
        <v>48</v>
      </c>
      <c r="B321" s="17">
        <f t="shared" si="24"/>
        <v>41752</v>
      </c>
      <c r="C321" s="15">
        <v>2</v>
      </c>
      <c r="D321" s="16" t="s">
        <v>323</v>
      </c>
      <c r="E321" s="16">
        <v>8.6999999999999993</v>
      </c>
      <c r="F321" s="16">
        <v>6.0696899999999996</v>
      </c>
      <c r="G321" s="16">
        <v>5.0993500000000003</v>
      </c>
    </row>
    <row r="322" spans="1:7" x14ac:dyDescent="0.25">
      <c r="A322" s="15" t="s">
        <v>48</v>
      </c>
      <c r="B322" s="17">
        <v>42131</v>
      </c>
      <c r="C322" s="15">
        <v>1</v>
      </c>
      <c r="D322" s="16" t="s">
        <v>314</v>
      </c>
      <c r="E322" s="16">
        <v>27</v>
      </c>
      <c r="F322" s="16">
        <v>5</v>
      </c>
      <c r="G322" s="16">
        <v>5</v>
      </c>
    </row>
    <row r="323" spans="1:7" x14ac:dyDescent="0.25">
      <c r="A323" s="15" t="s">
        <v>48</v>
      </c>
      <c r="B323" s="17">
        <f>B322</f>
        <v>42131</v>
      </c>
      <c r="C323" s="15">
        <v>1</v>
      </c>
      <c r="D323" s="16" t="s">
        <v>315</v>
      </c>
      <c r="E323" s="16">
        <v>2</v>
      </c>
      <c r="F323" s="16">
        <v>4</v>
      </c>
      <c r="G323" s="16">
        <v>4</v>
      </c>
    </row>
    <row r="324" spans="1:7" x14ac:dyDescent="0.25">
      <c r="A324" s="15" t="s">
        <v>48</v>
      </c>
      <c r="B324" s="17">
        <f t="shared" ref="B324:B341" si="25">B323</f>
        <v>42131</v>
      </c>
      <c r="C324" s="15">
        <v>1</v>
      </c>
      <c r="D324" s="16" t="s">
        <v>316</v>
      </c>
      <c r="E324" s="16">
        <v>4</v>
      </c>
      <c r="F324" s="16">
        <v>5.7142799999999996</v>
      </c>
      <c r="G324" s="16">
        <v>5.7142799999999996</v>
      </c>
    </row>
    <row r="325" spans="1:7" x14ac:dyDescent="0.25">
      <c r="A325" s="15" t="s">
        <v>48</v>
      </c>
      <c r="B325" s="17">
        <f t="shared" si="25"/>
        <v>42131</v>
      </c>
      <c r="C325" s="15">
        <v>1</v>
      </c>
      <c r="D325" s="16" t="s">
        <v>317</v>
      </c>
      <c r="E325" s="16">
        <v>11.2</v>
      </c>
      <c r="F325" s="16">
        <v>2.4418000000000002</v>
      </c>
      <c r="G325" s="16">
        <v>2.4418000000000002</v>
      </c>
    </row>
    <row r="326" spans="1:7" x14ac:dyDescent="0.25">
      <c r="A326" s="15" t="s">
        <v>48</v>
      </c>
      <c r="B326" s="17">
        <f t="shared" si="25"/>
        <v>42131</v>
      </c>
      <c r="C326" s="15">
        <v>1</v>
      </c>
      <c r="D326" s="16" t="s">
        <v>319</v>
      </c>
      <c r="E326" s="16">
        <v>2</v>
      </c>
      <c r="F326" s="16">
        <v>6.6666666667000003</v>
      </c>
      <c r="G326" s="16">
        <v>6.6666666667000003</v>
      </c>
    </row>
    <row r="327" spans="1:7" x14ac:dyDescent="0.25">
      <c r="A327" s="15" t="s">
        <v>48</v>
      </c>
      <c r="B327" s="17">
        <f t="shared" si="25"/>
        <v>42131</v>
      </c>
      <c r="C327" s="15">
        <v>1</v>
      </c>
      <c r="D327" s="16" t="s">
        <v>318</v>
      </c>
      <c r="E327" s="16">
        <v>4</v>
      </c>
      <c r="F327" s="16">
        <v>5.7140000000000004</v>
      </c>
      <c r="G327" s="16">
        <v>5.7140000000000004</v>
      </c>
    </row>
    <row r="328" spans="1:7" x14ac:dyDescent="0.25">
      <c r="A328" s="15" t="s">
        <v>48</v>
      </c>
      <c r="B328" s="17">
        <f t="shared" si="25"/>
        <v>42131</v>
      </c>
      <c r="C328" s="15">
        <v>1</v>
      </c>
      <c r="D328" s="16" t="s">
        <v>320</v>
      </c>
      <c r="E328" s="16">
        <v>26.5</v>
      </c>
      <c r="F328" s="16">
        <v>7.5</v>
      </c>
      <c r="G328" s="16">
        <v>7.5</v>
      </c>
    </row>
    <row r="329" spans="1:7" x14ac:dyDescent="0.25">
      <c r="A329" s="15" t="s">
        <v>48</v>
      </c>
      <c r="B329" s="17">
        <f t="shared" si="25"/>
        <v>42131</v>
      </c>
      <c r="C329" s="15">
        <v>1</v>
      </c>
      <c r="D329" s="16" t="s">
        <v>321</v>
      </c>
      <c r="E329" s="16">
        <v>0.68</v>
      </c>
      <c r="F329" s="16">
        <v>1.5249999999999999</v>
      </c>
      <c r="G329" s="16">
        <v>1.5249999999999999</v>
      </c>
    </row>
    <row r="330" spans="1:7" x14ac:dyDescent="0.25">
      <c r="A330" s="15" t="s">
        <v>48</v>
      </c>
      <c r="B330" s="17">
        <f t="shared" si="25"/>
        <v>42131</v>
      </c>
      <c r="C330" s="15">
        <v>1</v>
      </c>
      <c r="D330" s="16" t="s">
        <v>322</v>
      </c>
      <c r="E330" s="16">
        <v>0</v>
      </c>
      <c r="F330" s="16">
        <v>0</v>
      </c>
      <c r="G330" s="16">
        <v>0</v>
      </c>
    </row>
    <row r="331" spans="1:7" x14ac:dyDescent="0.25">
      <c r="A331" s="15" t="s">
        <v>48</v>
      </c>
      <c r="B331" s="17">
        <f t="shared" si="25"/>
        <v>42131</v>
      </c>
      <c r="C331" s="15">
        <v>1</v>
      </c>
      <c r="D331" s="16" t="s">
        <v>323</v>
      </c>
      <c r="E331" s="16">
        <v>15.6</v>
      </c>
      <c r="F331" s="16">
        <v>4.726493262</v>
      </c>
      <c r="G331" s="16">
        <v>4.3360000000000003</v>
      </c>
    </row>
    <row r="332" spans="1:7" x14ac:dyDescent="0.25">
      <c r="A332" s="15" t="s">
        <v>48</v>
      </c>
      <c r="B332" s="17">
        <f t="shared" si="25"/>
        <v>42131</v>
      </c>
      <c r="C332" s="15">
        <v>2</v>
      </c>
      <c r="D332" s="16" t="s">
        <v>314</v>
      </c>
      <c r="E332" s="16">
        <v>21</v>
      </c>
      <c r="F332" s="16">
        <v>2.5</v>
      </c>
      <c r="G332" s="16">
        <v>2.0833330000000001</v>
      </c>
    </row>
    <row r="333" spans="1:7" x14ac:dyDescent="0.25">
      <c r="A333" s="15" t="s">
        <v>48</v>
      </c>
      <c r="B333" s="17">
        <f t="shared" si="25"/>
        <v>42131</v>
      </c>
      <c r="C333" s="15">
        <v>2</v>
      </c>
      <c r="D333" s="16" t="s">
        <v>315</v>
      </c>
      <c r="E333" s="16">
        <v>2</v>
      </c>
      <c r="F333" s="16">
        <v>4</v>
      </c>
      <c r="G333" s="16">
        <v>4</v>
      </c>
    </row>
    <row r="334" spans="1:7" x14ac:dyDescent="0.25">
      <c r="A334" s="15" t="s">
        <v>48</v>
      </c>
      <c r="B334" s="17">
        <f t="shared" si="25"/>
        <v>42131</v>
      </c>
      <c r="C334" s="15">
        <v>2</v>
      </c>
      <c r="D334" s="16" t="s">
        <v>316</v>
      </c>
      <c r="E334" s="16">
        <v>2</v>
      </c>
      <c r="F334" s="16">
        <v>2.8570000000000002</v>
      </c>
      <c r="G334" s="16">
        <v>2.8570000000000002</v>
      </c>
    </row>
    <row r="335" spans="1:7" x14ac:dyDescent="0.25">
      <c r="A335" s="15" t="s">
        <v>48</v>
      </c>
      <c r="B335" s="17">
        <f t="shared" si="25"/>
        <v>42131</v>
      </c>
      <c r="C335" s="15">
        <v>2</v>
      </c>
      <c r="D335" s="16" t="s">
        <v>317</v>
      </c>
      <c r="E335" s="16">
        <v>14.2</v>
      </c>
      <c r="F335" s="16">
        <v>3.1395</v>
      </c>
      <c r="G335" s="16">
        <v>2.9767000000000001</v>
      </c>
    </row>
    <row r="336" spans="1:7" x14ac:dyDescent="0.25">
      <c r="A336" s="15" t="s">
        <v>48</v>
      </c>
      <c r="B336" s="17">
        <f t="shared" si="25"/>
        <v>42131</v>
      </c>
      <c r="C336" s="15">
        <v>2</v>
      </c>
      <c r="D336" s="16" t="s">
        <v>319</v>
      </c>
      <c r="E336" s="16">
        <v>2</v>
      </c>
      <c r="F336" s="16">
        <v>6.6666670000000003</v>
      </c>
      <c r="G336" s="16">
        <v>3.3333330000000001</v>
      </c>
    </row>
    <row r="337" spans="1:7" x14ac:dyDescent="0.25">
      <c r="A337" s="15" t="s">
        <v>48</v>
      </c>
      <c r="B337" s="17">
        <f t="shared" si="25"/>
        <v>42131</v>
      </c>
      <c r="C337" s="15">
        <v>2</v>
      </c>
      <c r="D337" s="16" t="s">
        <v>318</v>
      </c>
      <c r="E337" s="16">
        <v>2</v>
      </c>
      <c r="F337" s="16">
        <v>2.8570000000000002</v>
      </c>
      <c r="G337" s="16">
        <v>2.8570000000000002</v>
      </c>
    </row>
    <row r="338" spans="1:7" x14ac:dyDescent="0.25">
      <c r="A338" s="15" t="s">
        <v>48</v>
      </c>
      <c r="B338" s="17">
        <f t="shared" si="25"/>
        <v>42131</v>
      </c>
      <c r="C338" s="15">
        <v>2</v>
      </c>
      <c r="D338" s="16" t="s">
        <v>320</v>
      </c>
      <c r="E338" s="16">
        <v>39</v>
      </c>
      <c r="F338" s="16">
        <v>5</v>
      </c>
      <c r="G338" s="16">
        <v>5</v>
      </c>
    </row>
    <row r="339" spans="1:7" x14ac:dyDescent="0.25">
      <c r="A339" s="15" t="s">
        <v>48</v>
      </c>
      <c r="B339" s="17">
        <f t="shared" si="25"/>
        <v>42131</v>
      </c>
      <c r="C339" s="15">
        <v>2</v>
      </c>
      <c r="D339" s="16" t="s">
        <v>321</v>
      </c>
      <c r="E339" s="16">
        <v>0</v>
      </c>
      <c r="F339" s="16">
        <v>0</v>
      </c>
      <c r="G339" s="16">
        <v>0</v>
      </c>
    </row>
    <row r="340" spans="1:7" x14ac:dyDescent="0.25">
      <c r="A340" s="15" t="s">
        <v>48</v>
      </c>
      <c r="B340" s="17">
        <f t="shared" si="25"/>
        <v>42131</v>
      </c>
      <c r="C340" s="15">
        <v>2</v>
      </c>
      <c r="D340" s="16" t="s">
        <v>322</v>
      </c>
      <c r="E340" s="16">
        <v>0</v>
      </c>
      <c r="F340" s="16">
        <v>0</v>
      </c>
      <c r="G340" s="16">
        <v>0</v>
      </c>
    </row>
    <row r="341" spans="1:7" x14ac:dyDescent="0.25">
      <c r="A341" s="15" t="s">
        <v>48</v>
      </c>
      <c r="B341" s="17">
        <f t="shared" si="25"/>
        <v>42131</v>
      </c>
      <c r="C341" s="15">
        <v>2</v>
      </c>
      <c r="D341" s="16" t="s">
        <v>323</v>
      </c>
      <c r="E341" s="16">
        <v>12.1</v>
      </c>
      <c r="F341" s="16">
        <v>5.3179999999999996</v>
      </c>
      <c r="G341" s="16">
        <v>4.7263999999999999</v>
      </c>
    </row>
    <row r="342" spans="1:7" x14ac:dyDescent="0.25">
      <c r="A342" s="15" t="s">
        <v>51</v>
      </c>
      <c r="B342" s="17">
        <v>41753</v>
      </c>
      <c r="C342" s="15">
        <v>1</v>
      </c>
      <c r="D342" s="16" t="s">
        <v>314</v>
      </c>
      <c r="E342" s="16">
        <v>20</v>
      </c>
      <c r="F342" s="16">
        <v>2.0833330000000001</v>
      </c>
      <c r="G342" s="16">
        <v>2.0833330000000001</v>
      </c>
    </row>
    <row r="343" spans="1:7" x14ac:dyDescent="0.25">
      <c r="A343" s="15" t="s">
        <v>51</v>
      </c>
      <c r="B343" s="17">
        <f>B342</f>
        <v>41753</v>
      </c>
      <c r="C343" s="15">
        <v>1</v>
      </c>
      <c r="D343" s="16" t="s">
        <v>315</v>
      </c>
      <c r="E343" s="16">
        <v>0</v>
      </c>
      <c r="F343" s="16">
        <v>0</v>
      </c>
      <c r="G343" s="16">
        <v>0</v>
      </c>
    </row>
    <row r="344" spans="1:7" x14ac:dyDescent="0.25">
      <c r="A344" s="15" t="s">
        <v>51</v>
      </c>
      <c r="B344" s="17">
        <f t="shared" ref="B344:B361" si="26">B343</f>
        <v>41753</v>
      </c>
      <c r="C344" s="15">
        <v>1</v>
      </c>
      <c r="D344" s="16" t="s">
        <v>316</v>
      </c>
      <c r="E344" s="16">
        <v>2</v>
      </c>
      <c r="F344" s="16">
        <v>2.8571430000000002</v>
      </c>
      <c r="G344" s="16">
        <v>2.8571430000000002</v>
      </c>
    </row>
    <row r="345" spans="1:7" x14ac:dyDescent="0.25">
      <c r="A345" s="15" t="s">
        <v>51</v>
      </c>
      <c r="B345" s="17">
        <f t="shared" si="26"/>
        <v>41753</v>
      </c>
      <c r="C345" s="15">
        <v>1</v>
      </c>
      <c r="D345" s="16" t="s">
        <v>317</v>
      </c>
      <c r="E345" s="16">
        <v>33.4</v>
      </c>
      <c r="F345" s="16">
        <v>7.6046509999999996</v>
      </c>
      <c r="G345" s="16">
        <v>7.6046509999999996</v>
      </c>
    </row>
    <row r="346" spans="1:7" x14ac:dyDescent="0.25">
      <c r="A346" s="15" t="s">
        <v>51</v>
      </c>
      <c r="B346" s="17">
        <f t="shared" si="26"/>
        <v>41753</v>
      </c>
      <c r="C346" s="15">
        <v>1</v>
      </c>
      <c r="D346" s="16" t="s">
        <v>319</v>
      </c>
      <c r="E346" s="16">
        <v>1</v>
      </c>
      <c r="F346" s="16">
        <v>3.3333333330000001</v>
      </c>
      <c r="G346" s="16">
        <v>3.3333333330000001</v>
      </c>
    </row>
    <row r="347" spans="1:7" x14ac:dyDescent="0.25">
      <c r="A347" s="15" t="s">
        <v>51</v>
      </c>
      <c r="B347" s="17">
        <f t="shared" si="26"/>
        <v>41753</v>
      </c>
      <c r="C347" s="15">
        <v>1</v>
      </c>
      <c r="D347" s="16" t="s">
        <v>318</v>
      </c>
      <c r="E347" s="16">
        <v>2</v>
      </c>
      <c r="F347" s="16">
        <v>2.8571430000000002</v>
      </c>
      <c r="G347" s="16">
        <v>2.8571430000000002</v>
      </c>
    </row>
    <row r="348" spans="1:7" x14ac:dyDescent="0.25">
      <c r="A348" s="15" t="s">
        <v>51</v>
      </c>
      <c r="B348" s="17">
        <f t="shared" si="26"/>
        <v>41753</v>
      </c>
      <c r="C348" s="15">
        <v>1</v>
      </c>
      <c r="D348" s="16" t="s">
        <v>320</v>
      </c>
      <c r="E348" s="16">
        <v>21.8</v>
      </c>
      <c r="F348" s="16">
        <v>8.44</v>
      </c>
      <c r="G348" s="16">
        <v>8.44</v>
      </c>
    </row>
    <row r="349" spans="1:7" x14ac:dyDescent="0.25">
      <c r="A349" s="15" t="s">
        <v>51</v>
      </c>
      <c r="B349" s="17">
        <f t="shared" si="26"/>
        <v>41753</v>
      </c>
      <c r="C349" s="15">
        <v>1</v>
      </c>
      <c r="D349" s="16" t="s">
        <v>321</v>
      </c>
      <c r="E349" s="16">
        <v>5.8</v>
      </c>
      <c r="F349" s="16">
        <v>5.6380080000000001</v>
      </c>
      <c r="G349" s="16">
        <v>5.6380080000000001</v>
      </c>
    </row>
    <row r="350" spans="1:7" x14ac:dyDescent="0.25">
      <c r="A350" s="15" t="s">
        <v>51</v>
      </c>
      <c r="B350" s="17">
        <f t="shared" si="26"/>
        <v>41753</v>
      </c>
      <c r="C350" s="15">
        <v>1</v>
      </c>
      <c r="D350" s="16" t="s">
        <v>322</v>
      </c>
      <c r="E350" s="16">
        <v>0</v>
      </c>
      <c r="F350" s="16">
        <v>0</v>
      </c>
      <c r="G350" s="16">
        <v>0</v>
      </c>
    </row>
    <row r="351" spans="1:7" x14ac:dyDescent="0.25">
      <c r="A351" s="15" t="s">
        <v>51</v>
      </c>
      <c r="B351" s="17">
        <f t="shared" si="26"/>
        <v>41753</v>
      </c>
      <c r="C351" s="15">
        <v>1</v>
      </c>
      <c r="D351" s="16" t="s">
        <v>323</v>
      </c>
      <c r="E351" s="16">
        <v>7.7</v>
      </c>
      <c r="F351" s="16">
        <v>6.3416920000000001</v>
      </c>
      <c r="G351" s="16">
        <v>6.3416920000000001</v>
      </c>
    </row>
    <row r="352" spans="1:7" x14ac:dyDescent="0.25">
      <c r="A352" s="15" t="s">
        <v>51</v>
      </c>
      <c r="B352" s="17">
        <f t="shared" si="26"/>
        <v>41753</v>
      </c>
      <c r="C352" s="15">
        <v>2</v>
      </c>
      <c r="D352" s="16" t="s">
        <v>314</v>
      </c>
      <c r="E352" s="16">
        <v>18</v>
      </c>
      <c r="F352" s="16">
        <v>1.25</v>
      </c>
      <c r="G352" s="16">
        <v>1.25</v>
      </c>
    </row>
    <row r="353" spans="1:7" x14ac:dyDescent="0.25">
      <c r="A353" s="15" t="s">
        <v>51</v>
      </c>
      <c r="B353" s="17">
        <f t="shared" si="26"/>
        <v>41753</v>
      </c>
      <c r="C353" s="15">
        <v>2</v>
      </c>
      <c r="D353" s="16" t="s">
        <v>315</v>
      </c>
      <c r="E353" s="16">
        <v>0</v>
      </c>
      <c r="F353" s="16">
        <v>0</v>
      </c>
      <c r="G353" s="16">
        <v>0</v>
      </c>
    </row>
    <row r="354" spans="1:7" x14ac:dyDescent="0.25">
      <c r="A354" s="15" t="s">
        <v>51</v>
      </c>
      <c r="B354" s="17">
        <f t="shared" si="26"/>
        <v>41753</v>
      </c>
      <c r="C354" s="15">
        <v>2</v>
      </c>
      <c r="D354" s="16" t="s">
        <v>316</v>
      </c>
      <c r="E354" s="16">
        <v>1</v>
      </c>
      <c r="F354" s="16">
        <v>1.428571</v>
      </c>
      <c r="G354" s="16">
        <v>1.428571</v>
      </c>
    </row>
    <row r="355" spans="1:7" x14ac:dyDescent="0.25">
      <c r="A355" s="15" t="s">
        <v>51</v>
      </c>
      <c r="B355" s="17">
        <f t="shared" si="26"/>
        <v>41753</v>
      </c>
      <c r="C355" s="15">
        <v>2</v>
      </c>
      <c r="D355" s="16" t="s">
        <v>317</v>
      </c>
      <c r="E355" s="16">
        <v>38.299999999999997</v>
      </c>
      <c r="F355" s="16">
        <v>8.7441859999999991</v>
      </c>
      <c r="G355" s="16">
        <v>8.7441859999999991</v>
      </c>
    </row>
    <row r="356" spans="1:7" x14ac:dyDescent="0.25">
      <c r="A356" s="15" t="s">
        <v>51</v>
      </c>
      <c r="B356" s="17">
        <f t="shared" si="26"/>
        <v>41753</v>
      </c>
      <c r="C356" s="15">
        <v>2</v>
      </c>
      <c r="D356" s="16" t="s">
        <v>319</v>
      </c>
      <c r="E356" s="16">
        <v>1</v>
      </c>
      <c r="F356" s="16">
        <v>3.3333300000000001</v>
      </c>
      <c r="G356" s="16">
        <v>3.3333300000000001</v>
      </c>
    </row>
    <row r="357" spans="1:7" x14ac:dyDescent="0.25">
      <c r="A357" s="15" t="s">
        <v>51</v>
      </c>
      <c r="B357" s="17">
        <f t="shared" si="26"/>
        <v>41753</v>
      </c>
      <c r="C357" s="15">
        <v>2</v>
      </c>
      <c r="D357" s="16" t="s">
        <v>318</v>
      </c>
      <c r="E357" s="16">
        <v>1</v>
      </c>
      <c r="F357" s="16">
        <v>1.428571</v>
      </c>
      <c r="G357" s="16">
        <v>1.428571</v>
      </c>
    </row>
    <row r="358" spans="1:7" x14ac:dyDescent="0.25">
      <c r="A358" s="15" t="s">
        <v>51</v>
      </c>
      <c r="B358" s="17">
        <f t="shared" si="26"/>
        <v>41753</v>
      </c>
      <c r="C358" s="15">
        <v>2</v>
      </c>
      <c r="D358" s="16" t="s">
        <v>320</v>
      </c>
      <c r="E358" s="16">
        <v>20.100000000000001</v>
      </c>
      <c r="F358" s="16">
        <v>8.7799999999999994</v>
      </c>
      <c r="G358" s="16">
        <v>8.7799999999999994</v>
      </c>
    </row>
    <row r="359" spans="1:7" x14ac:dyDescent="0.25">
      <c r="A359" s="15" t="s">
        <v>51</v>
      </c>
      <c r="B359" s="17">
        <f t="shared" si="26"/>
        <v>41753</v>
      </c>
      <c r="C359" s="15">
        <v>2</v>
      </c>
      <c r="D359" s="16" t="s">
        <v>321</v>
      </c>
      <c r="E359" s="16">
        <v>11.7</v>
      </c>
      <c r="F359" s="16">
        <v>7.4752999999999998</v>
      </c>
      <c r="G359" s="16">
        <v>7.4752999999999998</v>
      </c>
    </row>
    <row r="360" spans="1:7" x14ac:dyDescent="0.25">
      <c r="A360" s="15" t="s">
        <v>51</v>
      </c>
      <c r="B360" s="17">
        <f t="shared" si="26"/>
        <v>41753</v>
      </c>
      <c r="C360" s="15">
        <v>2</v>
      </c>
      <c r="D360" s="16" t="s">
        <v>322</v>
      </c>
      <c r="E360" s="16">
        <v>0</v>
      </c>
      <c r="F360" s="16">
        <v>0</v>
      </c>
      <c r="G360" s="16">
        <v>0</v>
      </c>
    </row>
    <row r="361" spans="1:7" x14ac:dyDescent="0.25">
      <c r="A361" s="15" t="s">
        <v>51</v>
      </c>
      <c r="B361" s="17">
        <f t="shared" si="26"/>
        <v>41753</v>
      </c>
      <c r="C361" s="15">
        <v>2</v>
      </c>
      <c r="D361" s="16" t="s">
        <v>323</v>
      </c>
      <c r="E361" s="16">
        <v>10.4</v>
      </c>
      <c r="F361" s="16">
        <v>5.6659670000000002</v>
      </c>
      <c r="G361" s="16">
        <v>5.6659670000000002</v>
      </c>
    </row>
    <row r="362" spans="1:7" x14ac:dyDescent="0.25">
      <c r="A362" s="15" t="s">
        <v>51</v>
      </c>
      <c r="B362" s="17">
        <v>41957</v>
      </c>
      <c r="C362" s="15">
        <v>1</v>
      </c>
      <c r="D362" s="16" t="s">
        <v>314</v>
      </c>
      <c r="E362" s="16">
        <v>16</v>
      </c>
      <c r="F362" s="16">
        <v>0.41666666667000002</v>
      </c>
      <c r="G362" s="16">
        <v>0.41666666667000002</v>
      </c>
    </row>
    <row r="363" spans="1:7" x14ac:dyDescent="0.25">
      <c r="A363" s="15" t="s">
        <v>51</v>
      </c>
      <c r="B363" s="17">
        <f>B362</f>
        <v>41957</v>
      </c>
      <c r="C363" s="15">
        <v>1</v>
      </c>
      <c r="D363" s="16" t="s">
        <v>315</v>
      </c>
      <c r="E363" s="16">
        <v>1</v>
      </c>
      <c r="F363" s="16">
        <v>2</v>
      </c>
      <c r="G363" s="16">
        <v>2</v>
      </c>
    </row>
    <row r="364" spans="1:7" x14ac:dyDescent="0.25">
      <c r="A364" s="15" t="s">
        <v>51</v>
      </c>
      <c r="B364" s="17">
        <f t="shared" ref="B364:B381" si="27">B363</f>
        <v>41957</v>
      </c>
      <c r="C364" s="15">
        <v>1</v>
      </c>
      <c r="D364" s="16" t="s">
        <v>316</v>
      </c>
      <c r="E364" s="16">
        <v>1</v>
      </c>
      <c r="F364" s="16">
        <v>1.4286000000000001</v>
      </c>
      <c r="G364" s="16">
        <v>1.4286000000000001</v>
      </c>
    </row>
    <row r="365" spans="1:7" x14ac:dyDescent="0.25">
      <c r="A365" s="15" t="s">
        <v>51</v>
      </c>
      <c r="B365" s="17">
        <f t="shared" si="27"/>
        <v>41957</v>
      </c>
      <c r="C365" s="15">
        <v>1</v>
      </c>
      <c r="D365" s="16" t="s">
        <v>317</v>
      </c>
      <c r="E365" s="16">
        <v>40.4</v>
      </c>
      <c r="F365" s="16">
        <v>9.2325499999999998</v>
      </c>
      <c r="G365" s="16">
        <v>9.2325499999999998</v>
      </c>
    </row>
    <row r="366" spans="1:7" x14ac:dyDescent="0.25">
      <c r="A366" s="15" t="s">
        <v>51</v>
      </c>
      <c r="B366" s="17">
        <f t="shared" si="27"/>
        <v>41957</v>
      </c>
      <c r="C366" s="15">
        <v>1</v>
      </c>
      <c r="D366" s="16" t="s">
        <v>319</v>
      </c>
      <c r="E366" s="16">
        <v>0</v>
      </c>
      <c r="F366" s="16">
        <v>0</v>
      </c>
      <c r="G366" s="16">
        <v>0</v>
      </c>
    </row>
    <row r="367" spans="1:7" x14ac:dyDescent="0.25">
      <c r="A367" s="15" t="s">
        <v>51</v>
      </c>
      <c r="B367" s="17">
        <f t="shared" si="27"/>
        <v>41957</v>
      </c>
      <c r="C367" s="15">
        <v>1</v>
      </c>
      <c r="D367" s="16" t="s">
        <v>318</v>
      </c>
      <c r="E367" s="16">
        <v>1</v>
      </c>
      <c r="F367" s="16">
        <v>1.4285699999999999</v>
      </c>
      <c r="G367" s="16">
        <v>1.4285699999999999</v>
      </c>
    </row>
    <row r="368" spans="1:7" x14ac:dyDescent="0.25">
      <c r="A368" s="15" t="s">
        <v>51</v>
      </c>
      <c r="B368" s="17">
        <f t="shared" si="27"/>
        <v>41957</v>
      </c>
      <c r="C368" s="15">
        <v>1</v>
      </c>
      <c r="D368" s="16" t="s">
        <v>320</v>
      </c>
      <c r="E368" s="16">
        <v>31.8</v>
      </c>
      <c r="F368" s="16">
        <v>6.44</v>
      </c>
      <c r="G368" s="16">
        <v>6.44</v>
      </c>
    </row>
    <row r="369" spans="1:7" x14ac:dyDescent="0.25">
      <c r="A369" s="15" t="s">
        <v>51</v>
      </c>
      <c r="B369" s="17">
        <f t="shared" si="27"/>
        <v>41957</v>
      </c>
      <c r="C369" s="15">
        <v>1</v>
      </c>
      <c r="D369" s="16" t="s">
        <v>321</v>
      </c>
      <c r="E369" s="16">
        <v>0</v>
      </c>
      <c r="F369" s="16">
        <v>0</v>
      </c>
      <c r="G369" s="16">
        <v>0</v>
      </c>
    </row>
    <row r="370" spans="1:7" x14ac:dyDescent="0.25">
      <c r="A370" s="15" t="s">
        <v>51</v>
      </c>
      <c r="B370" s="17">
        <f t="shared" si="27"/>
        <v>41957</v>
      </c>
      <c r="C370" s="15">
        <v>1</v>
      </c>
      <c r="D370" s="16" t="s">
        <v>322</v>
      </c>
      <c r="E370" s="16">
        <v>0</v>
      </c>
      <c r="F370" s="16">
        <v>0</v>
      </c>
      <c r="G370" s="16">
        <v>0</v>
      </c>
    </row>
    <row r="371" spans="1:7" x14ac:dyDescent="0.25">
      <c r="A371" s="15" t="s">
        <v>51</v>
      </c>
      <c r="B371" s="17">
        <f t="shared" si="27"/>
        <v>41957</v>
      </c>
      <c r="C371" s="15">
        <v>1</v>
      </c>
      <c r="D371" s="16" t="s">
        <v>323</v>
      </c>
      <c r="E371" s="16">
        <v>10.6</v>
      </c>
      <c r="F371" s="16">
        <v>5.6223999999999998</v>
      </c>
      <c r="G371" s="16">
        <v>5.6223999999999998</v>
      </c>
    </row>
    <row r="372" spans="1:7" x14ac:dyDescent="0.25">
      <c r="A372" s="15" t="s">
        <v>51</v>
      </c>
      <c r="B372" s="17">
        <f t="shared" si="27"/>
        <v>41957</v>
      </c>
      <c r="C372" s="15">
        <v>2</v>
      </c>
      <c r="D372" s="16" t="s">
        <v>314</v>
      </c>
      <c r="E372" s="16">
        <v>17</v>
      </c>
      <c r="F372" s="16">
        <v>0.83333299999999999</v>
      </c>
      <c r="G372" s="16">
        <v>0.83333299999999999</v>
      </c>
    </row>
    <row r="373" spans="1:7" x14ac:dyDescent="0.25">
      <c r="A373" s="15" t="s">
        <v>51</v>
      </c>
      <c r="B373" s="17">
        <f t="shared" si="27"/>
        <v>41957</v>
      </c>
      <c r="C373" s="15">
        <v>2</v>
      </c>
      <c r="D373" s="16" t="s">
        <v>315</v>
      </c>
      <c r="E373" s="16">
        <v>1</v>
      </c>
      <c r="F373" s="16">
        <v>2</v>
      </c>
      <c r="G373" s="16">
        <v>2</v>
      </c>
    </row>
    <row r="374" spans="1:7" x14ac:dyDescent="0.25">
      <c r="A374" s="15" t="s">
        <v>51</v>
      </c>
      <c r="B374" s="17">
        <f t="shared" si="27"/>
        <v>41957</v>
      </c>
      <c r="C374" s="15">
        <v>2</v>
      </c>
      <c r="D374" s="16" t="s">
        <v>316</v>
      </c>
      <c r="E374" s="16">
        <v>2</v>
      </c>
      <c r="F374" s="16">
        <v>2.8571430000000002</v>
      </c>
      <c r="G374" s="16">
        <v>2.8571430000000002</v>
      </c>
    </row>
    <row r="375" spans="1:7" x14ac:dyDescent="0.25">
      <c r="A375" s="15" t="s">
        <v>51</v>
      </c>
      <c r="B375" s="17">
        <f t="shared" si="27"/>
        <v>41957</v>
      </c>
      <c r="C375" s="15">
        <v>2</v>
      </c>
      <c r="D375" s="16" t="s">
        <v>317</v>
      </c>
      <c r="E375" s="16">
        <v>31.6</v>
      </c>
      <c r="F375" s="16">
        <v>7.1860470000000003</v>
      </c>
      <c r="G375" s="16">
        <v>7.1860470000000003</v>
      </c>
    </row>
    <row r="376" spans="1:7" x14ac:dyDescent="0.25">
      <c r="A376" s="15" t="s">
        <v>51</v>
      </c>
      <c r="B376" s="17">
        <f t="shared" si="27"/>
        <v>41957</v>
      </c>
      <c r="C376" s="15">
        <v>2</v>
      </c>
      <c r="D376" s="16" t="s">
        <v>319</v>
      </c>
      <c r="E376" s="16">
        <v>2</v>
      </c>
      <c r="F376" s="16">
        <v>6.6666670000000003</v>
      </c>
      <c r="G376" s="16">
        <v>6.6666670000000003</v>
      </c>
    </row>
    <row r="377" spans="1:7" x14ac:dyDescent="0.25">
      <c r="A377" s="15" t="s">
        <v>51</v>
      </c>
      <c r="B377" s="17">
        <f t="shared" si="27"/>
        <v>41957</v>
      </c>
      <c r="C377" s="15">
        <v>2</v>
      </c>
      <c r="D377" s="16" t="s">
        <v>318</v>
      </c>
      <c r="E377" s="16">
        <v>2</v>
      </c>
      <c r="F377" s="16">
        <v>2.8571430000000002</v>
      </c>
      <c r="G377" s="16">
        <v>2.8571430000000002</v>
      </c>
    </row>
    <row r="378" spans="1:7" x14ac:dyDescent="0.25">
      <c r="A378" s="15" t="s">
        <v>51</v>
      </c>
      <c r="B378" s="17">
        <f t="shared" si="27"/>
        <v>41957</v>
      </c>
      <c r="C378" s="15">
        <v>2</v>
      </c>
      <c r="D378" s="16" t="s">
        <v>320</v>
      </c>
      <c r="E378" s="16">
        <v>27.6</v>
      </c>
      <c r="F378" s="16">
        <v>7.28</v>
      </c>
      <c r="G378" s="16">
        <v>7.28</v>
      </c>
    </row>
    <row r="379" spans="1:7" x14ac:dyDescent="0.25">
      <c r="A379" s="15" t="s">
        <v>51</v>
      </c>
      <c r="B379" s="17">
        <f t="shared" si="27"/>
        <v>41957</v>
      </c>
      <c r="C379" s="15">
        <v>2</v>
      </c>
      <c r="D379" s="16" t="s">
        <v>321</v>
      </c>
      <c r="E379" s="16">
        <v>0</v>
      </c>
      <c r="F379" s="16">
        <v>0</v>
      </c>
      <c r="G379" s="16">
        <v>0</v>
      </c>
    </row>
    <row r="380" spans="1:7" x14ac:dyDescent="0.25">
      <c r="A380" s="15" t="s">
        <v>51</v>
      </c>
      <c r="B380" s="17">
        <f t="shared" si="27"/>
        <v>41957</v>
      </c>
      <c r="C380" s="15">
        <v>2</v>
      </c>
      <c r="D380" s="16" t="s">
        <v>322</v>
      </c>
      <c r="E380" s="16">
        <v>0</v>
      </c>
      <c r="F380" s="16">
        <v>0</v>
      </c>
      <c r="G380" s="16">
        <v>0</v>
      </c>
    </row>
    <row r="381" spans="1:7" x14ac:dyDescent="0.25">
      <c r="A381" s="15" t="s">
        <v>51</v>
      </c>
      <c r="B381" s="17">
        <f t="shared" si="27"/>
        <v>41957</v>
      </c>
      <c r="C381" s="15">
        <v>2</v>
      </c>
      <c r="D381" s="16" t="s">
        <v>323</v>
      </c>
      <c r="E381" s="16">
        <v>13.2</v>
      </c>
      <c r="F381" s="16">
        <v>5.1168950000000004</v>
      </c>
      <c r="G381" s="16">
        <v>5.1168950000000004</v>
      </c>
    </row>
    <row r="382" spans="1:7" x14ac:dyDescent="0.25">
      <c r="A382" t="s">
        <v>53</v>
      </c>
      <c r="B382" s="12">
        <v>42010</v>
      </c>
      <c r="C382" s="15">
        <v>1</v>
      </c>
      <c r="D382" s="16" t="s">
        <v>314</v>
      </c>
      <c r="E382" s="16">
        <v>25</v>
      </c>
      <c r="F382" s="16">
        <v>4.1666666699999997</v>
      </c>
      <c r="G382" s="16">
        <v>4.1666666699999997</v>
      </c>
    </row>
    <row r="383" spans="1:7" x14ac:dyDescent="0.25">
      <c r="A383" t="s">
        <v>53</v>
      </c>
      <c r="B383" s="12">
        <f>B382</f>
        <v>42010</v>
      </c>
      <c r="C383" s="15">
        <v>1</v>
      </c>
      <c r="D383" s="16" t="s">
        <v>315</v>
      </c>
      <c r="E383" s="16">
        <v>2</v>
      </c>
      <c r="F383" s="16">
        <v>4</v>
      </c>
      <c r="G383" s="16">
        <v>4</v>
      </c>
    </row>
    <row r="384" spans="1:7" x14ac:dyDescent="0.25">
      <c r="A384" t="s">
        <v>53</v>
      </c>
      <c r="B384" s="12">
        <f t="shared" ref="B384:B401" si="28">B383</f>
        <v>42010</v>
      </c>
      <c r="C384" s="15">
        <v>1</v>
      </c>
      <c r="D384" s="16" t="s">
        <v>316</v>
      </c>
      <c r="E384" s="16">
        <v>0</v>
      </c>
      <c r="F384" s="16">
        <v>0</v>
      </c>
      <c r="G384" s="16">
        <v>0</v>
      </c>
    </row>
    <row r="385" spans="1:7" x14ac:dyDescent="0.25">
      <c r="A385" t="s">
        <v>53</v>
      </c>
      <c r="B385" s="12">
        <f t="shared" si="28"/>
        <v>42010</v>
      </c>
      <c r="C385" s="15">
        <v>1</v>
      </c>
      <c r="D385" s="16" t="s">
        <v>317</v>
      </c>
      <c r="E385" s="16">
        <v>29.9</v>
      </c>
      <c r="F385" s="16">
        <v>6.7906899999999997</v>
      </c>
      <c r="G385" s="16">
        <v>6.7906899999999997</v>
      </c>
    </row>
    <row r="386" spans="1:7" x14ac:dyDescent="0.25">
      <c r="A386" t="s">
        <v>53</v>
      </c>
      <c r="B386" s="12">
        <f t="shared" si="28"/>
        <v>42010</v>
      </c>
      <c r="C386" s="15">
        <v>1</v>
      </c>
      <c r="D386" s="16" t="s">
        <v>319</v>
      </c>
      <c r="E386" s="16">
        <v>1</v>
      </c>
      <c r="F386" s="16">
        <v>3.3333333299999999</v>
      </c>
      <c r="G386" s="16">
        <v>3.3333333299999999</v>
      </c>
    </row>
    <row r="387" spans="1:7" x14ac:dyDescent="0.25">
      <c r="A387" t="s">
        <v>53</v>
      </c>
      <c r="B387" s="12">
        <f t="shared" si="28"/>
        <v>42010</v>
      </c>
      <c r="C387" s="15">
        <v>1</v>
      </c>
      <c r="D387" s="16" t="s">
        <v>318</v>
      </c>
      <c r="E387" s="16">
        <v>0</v>
      </c>
      <c r="F387" s="16">
        <v>0</v>
      </c>
      <c r="G387" s="16">
        <v>0</v>
      </c>
    </row>
    <row r="388" spans="1:7" x14ac:dyDescent="0.25">
      <c r="A388" t="s">
        <v>53</v>
      </c>
      <c r="B388" s="12">
        <f t="shared" si="28"/>
        <v>42010</v>
      </c>
      <c r="C388" s="15">
        <v>1</v>
      </c>
      <c r="D388" s="16" t="s">
        <v>320</v>
      </c>
      <c r="E388" s="16">
        <v>26</v>
      </c>
      <c r="F388" s="16">
        <v>7.6</v>
      </c>
      <c r="G388" s="16">
        <v>7.6</v>
      </c>
    </row>
    <row r="389" spans="1:7" x14ac:dyDescent="0.25">
      <c r="A389" t="s">
        <v>53</v>
      </c>
      <c r="B389" s="12">
        <f t="shared" si="28"/>
        <v>42010</v>
      </c>
      <c r="C389" s="15">
        <v>1</v>
      </c>
      <c r="D389" s="16" t="s">
        <v>321</v>
      </c>
      <c r="E389" s="16">
        <v>0</v>
      </c>
      <c r="F389" s="16">
        <v>0</v>
      </c>
      <c r="G389" s="16">
        <v>0</v>
      </c>
    </row>
    <row r="390" spans="1:7" x14ac:dyDescent="0.25">
      <c r="A390" t="s">
        <v>53</v>
      </c>
      <c r="B390" s="12">
        <f t="shared" si="28"/>
        <v>42010</v>
      </c>
      <c r="C390" s="15">
        <v>1</v>
      </c>
      <c r="D390" s="16" t="s">
        <v>322</v>
      </c>
      <c r="E390" s="16">
        <v>0</v>
      </c>
      <c r="F390" s="16">
        <v>0</v>
      </c>
      <c r="G390" s="16">
        <v>0</v>
      </c>
    </row>
    <row r="391" spans="1:7" x14ac:dyDescent="0.25">
      <c r="A391" t="s">
        <v>53</v>
      </c>
      <c r="B391" s="12">
        <f t="shared" si="28"/>
        <v>42010</v>
      </c>
      <c r="C391" s="15">
        <v>1</v>
      </c>
      <c r="D391" s="16" t="s">
        <v>323</v>
      </c>
      <c r="E391" s="16">
        <v>23.9</v>
      </c>
      <c r="F391" s="16">
        <v>3.7128000000000001</v>
      </c>
      <c r="G391" s="16">
        <v>3.7128000000000001</v>
      </c>
    </row>
    <row r="392" spans="1:7" x14ac:dyDescent="0.25">
      <c r="A392" t="s">
        <v>53</v>
      </c>
      <c r="B392" s="12">
        <f t="shared" si="28"/>
        <v>42010</v>
      </c>
      <c r="C392" s="15">
        <v>2</v>
      </c>
      <c r="D392" s="16" t="s">
        <v>314</v>
      </c>
      <c r="E392" s="16">
        <v>30</v>
      </c>
      <c r="F392" s="16">
        <v>6.25</v>
      </c>
      <c r="G392" s="16">
        <v>6.25</v>
      </c>
    </row>
    <row r="393" spans="1:7" x14ac:dyDescent="0.25">
      <c r="A393" t="s">
        <v>53</v>
      </c>
      <c r="B393" s="12">
        <f t="shared" si="28"/>
        <v>42010</v>
      </c>
      <c r="C393" s="15">
        <v>2</v>
      </c>
      <c r="D393" s="16" t="s">
        <v>315</v>
      </c>
      <c r="E393" s="16">
        <v>1</v>
      </c>
      <c r="F393" s="16">
        <v>2</v>
      </c>
      <c r="G393" s="16">
        <v>2</v>
      </c>
    </row>
    <row r="394" spans="1:7" x14ac:dyDescent="0.25">
      <c r="A394" t="s">
        <v>53</v>
      </c>
      <c r="B394" s="12">
        <f t="shared" si="28"/>
        <v>42010</v>
      </c>
      <c r="C394" s="15">
        <v>2</v>
      </c>
      <c r="D394" s="16" t="s">
        <v>316</v>
      </c>
      <c r="E394" s="16">
        <v>1</v>
      </c>
      <c r="F394" s="16">
        <v>1.4285000000000001</v>
      </c>
      <c r="G394" s="16">
        <v>1.4285000000000001</v>
      </c>
    </row>
    <row r="395" spans="1:7" x14ac:dyDescent="0.25">
      <c r="A395" t="s">
        <v>53</v>
      </c>
      <c r="B395" s="12">
        <f t="shared" si="28"/>
        <v>42010</v>
      </c>
      <c r="C395" s="15">
        <v>2</v>
      </c>
      <c r="D395" s="16" t="s">
        <v>317</v>
      </c>
      <c r="E395" s="16">
        <v>16.899999999999999</v>
      </c>
      <c r="F395" s="16">
        <v>3.7669999999999999</v>
      </c>
      <c r="G395" s="16">
        <v>3.7669999999999999</v>
      </c>
    </row>
    <row r="396" spans="1:7" x14ac:dyDescent="0.25">
      <c r="A396" t="s">
        <v>53</v>
      </c>
      <c r="B396" s="12">
        <f t="shared" si="28"/>
        <v>42010</v>
      </c>
      <c r="C396" s="15">
        <v>2</v>
      </c>
      <c r="D396" s="16" t="s">
        <v>319</v>
      </c>
      <c r="E396" s="16">
        <v>1</v>
      </c>
      <c r="F396" s="16">
        <v>3.3333333000000001</v>
      </c>
      <c r="G396" s="16">
        <v>3.3333333000000001</v>
      </c>
    </row>
    <row r="397" spans="1:7" x14ac:dyDescent="0.25">
      <c r="A397" t="s">
        <v>53</v>
      </c>
      <c r="B397" s="12">
        <f t="shared" si="28"/>
        <v>42010</v>
      </c>
      <c r="C397" s="15">
        <v>2</v>
      </c>
      <c r="D397" s="16" t="s">
        <v>318</v>
      </c>
      <c r="E397" s="16">
        <v>1</v>
      </c>
      <c r="F397" s="16">
        <v>1.428571</v>
      </c>
      <c r="G397" s="16">
        <v>1.428571</v>
      </c>
    </row>
    <row r="398" spans="1:7" x14ac:dyDescent="0.25">
      <c r="A398" t="s">
        <v>53</v>
      </c>
      <c r="B398" s="12">
        <f t="shared" si="28"/>
        <v>42010</v>
      </c>
      <c r="C398" s="15">
        <v>2</v>
      </c>
      <c r="D398" s="16" t="s">
        <v>320</v>
      </c>
      <c r="E398" s="16">
        <v>22.3</v>
      </c>
      <c r="F398" s="16">
        <v>8.34</v>
      </c>
      <c r="G398" s="16">
        <v>8.34</v>
      </c>
    </row>
    <row r="399" spans="1:7" x14ac:dyDescent="0.25">
      <c r="A399" t="s">
        <v>53</v>
      </c>
      <c r="B399" s="12">
        <f t="shared" si="28"/>
        <v>42010</v>
      </c>
      <c r="C399" s="15">
        <v>2</v>
      </c>
      <c r="D399" s="16" t="s">
        <v>321</v>
      </c>
      <c r="E399" s="16">
        <v>0</v>
      </c>
      <c r="F399" s="16">
        <v>0</v>
      </c>
      <c r="G399" s="16">
        <v>0</v>
      </c>
    </row>
    <row r="400" spans="1:7" x14ac:dyDescent="0.25">
      <c r="A400" t="s">
        <v>53</v>
      </c>
      <c r="B400" s="12">
        <f t="shared" si="28"/>
        <v>42010</v>
      </c>
      <c r="C400" s="15">
        <v>2</v>
      </c>
      <c r="D400" s="16" t="s">
        <v>322</v>
      </c>
      <c r="E400" s="16">
        <v>0</v>
      </c>
      <c r="F400" s="16">
        <v>0</v>
      </c>
      <c r="G400" s="16">
        <v>0</v>
      </c>
    </row>
    <row r="401" spans="1:7" x14ac:dyDescent="0.25">
      <c r="A401" t="s">
        <v>53</v>
      </c>
      <c r="B401" s="12">
        <f t="shared" si="28"/>
        <v>42010</v>
      </c>
      <c r="C401" s="15">
        <v>2</v>
      </c>
      <c r="D401" s="16" t="s">
        <v>323</v>
      </c>
      <c r="E401" s="16">
        <v>48</v>
      </c>
      <c r="F401" s="16">
        <v>2.0204490000000002</v>
      </c>
      <c r="G401" s="16">
        <v>2.0204490000000002</v>
      </c>
    </row>
    <row r="402" spans="1:7" x14ac:dyDescent="0.25">
      <c r="A402" t="s">
        <v>53</v>
      </c>
      <c r="B402" s="12">
        <v>41774</v>
      </c>
      <c r="C402" s="15">
        <v>1</v>
      </c>
      <c r="D402" s="16" t="s">
        <v>314</v>
      </c>
      <c r="E402" s="16">
        <v>29</v>
      </c>
      <c r="F402" s="16">
        <v>5.8333329999999997</v>
      </c>
      <c r="G402" s="16">
        <v>5.8333329999999997</v>
      </c>
    </row>
    <row r="403" spans="1:7" x14ac:dyDescent="0.25">
      <c r="A403" t="s">
        <v>53</v>
      </c>
      <c r="B403" s="12">
        <f>B402</f>
        <v>41774</v>
      </c>
      <c r="C403" s="15">
        <v>1</v>
      </c>
      <c r="D403" s="16" t="s">
        <v>315</v>
      </c>
      <c r="E403" s="16">
        <v>1</v>
      </c>
      <c r="F403" s="16">
        <v>2</v>
      </c>
      <c r="G403" s="16">
        <v>2</v>
      </c>
    </row>
    <row r="404" spans="1:7" x14ac:dyDescent="0.25">
      <c r="A404" t="s">
        <v>53</v>
      </c>
      <c r="B404" s="12">
        <f t="shared" ref="B404:B421" si="29">B403</f>
        <v>41774</v>
      </c>
      <c r="C404" s="15">
        <v>1</v>
      </c>
      <c r="D404" s="16" t="s">
        <v>316</v>
      </c>
      <c r="E404" s="16">
        <v>1</v>
      </c>
      <c r="F404" s="16">
        <v>1.4279999999999999</v>
      </c>
      <c r="G404" s="16">
        <v>1.4279999999999999</v>
      </c>
    </row>
    <row r="405" spans="1:7" x14ac:dyDescent="0.25">
      <c r="A405" t="s">
        <v>53</v>
      </c>
      <c r="B405" s="12">
        <f t="shared" si="29"/>
        <v>41774</v>
      </c>
      <c r="C405" s="15">
        <v>1</v>
      </c>
      <c r="D405" s="16" t="s">
        <v>317</v>
      </c>
      <c r="E405" s="16">
        <v>8.4</v>
      </c>
      <c r="F405" s="16">
        <v>1.79</v>
      </c>
      <c r="G405" s="16">
        <v>1.79</v>
      </c>
    </row>
    <row r="406" spans="1:7" x14ac:dyDescent="0.25">
      <c r="A406" t="s">
        <v>53</v>
      </c>
      <c r="B406" s="12">
        <f t="shared" si="29"/>
        <v>41774</v>
      </c>
      <c r="C406" s="15">
        <v>1</v>
      </c>
      <c r="D406" s="16" t="s">
        <v>319</v>
      </c>
      <c r="E406" s="16">
        <v>1</v>
      </c>
      <c r="F406" s="16">
        <v>3.3333333000000001</v>
      </c>
      <c r="G406" s="16">
        <v>3.3333333000000001</v>
      </c>
    </row>
    <row r="407" spans="1:7" x14ac:dyDescent="0.25">
      <c r="A407" t="s">
        <v>53</v>
      </c>
      <c r="B407" s="12">
        <f t="shared" si="29"/>
        <v>41774</v>
      </c>
      <c r="C407" s="15">
        <v>1</v>
      </c>
      <c r="D407" s="16" t="s">
        <v>318</v>
      </c>
      <c r="E407" s="16">
        <v>1</v>
      </c>
      <c r="F407" s="16">
        <v>1.4285000000000001</v>
      </c>
      <c r="G407" s="16">
        <v>1.4285000000000001</v>
      </c>
    </row>
    <row r="408" spans="1:7" x14ac:dyDescent="0.25">
      <c r="A408" t="s">
        <v>53</v>
      </c>
      <c r="B408" s="12">
        <f t="shared" si="29"/>
        <v>41774</v>
      </c>
      <c r="C408" s="15">
        <v>1</v>
      </c>
      <c r="D408" s="16" t="s">
        <v>320</v>
      </c>
      <c r="E408" s="16">
        <v>22.8</v>
      </c>
      <c r="F408" s="16">
        <v>8.24</v>
      </c>
      <c r="G408" s="16">
        <v>8.24</v>
      </c>
    </row>
    <row r="409" spans="1:7" x14ac:dyDescent="0.25">
      <c r="A409" t="s">
        <v>53</v>
      </c>
      <c r="B409" s="12">
        <f t="shared" si="29"/>
        <v>41774</v>
      </c>
      <c r="C409" s="15">
        <v>1</v>
      </c>
      <c r="D409" s="16" t="s">
        <v>321</v>
      </c>
      <c r="E409" s="16">
        <v>6.7</v>
      </c>
      <c r="F409" s="16">
        <v>6.0035889999999998</v>
      </c>
      <c r="G409" s="16">
        <v>6.0035889999999998</v>
      </c>
    </row>
    <row r="410" spans="1:7" x14ac:dyDescent="0.25">
      <c r="A410" t="s">
        <v>53</v>
      </c>
      <c r="B410" s="12">
        <f t="shared" si="29"/>
        <v>41774</v>
      </c>
      <c r="C410" s="15">
        <v>1</v>
      </c>
      <c r="D410" s="16" t="s">
        <v>322</v>
      </c>
      <c r="E410" s="16">
        <v>0</v>
      </c>
      <c r="F410" s="16">
        <v>0</v>
      </c>
      <c r="G410" s="16">
        <v>0</v>
      </c>
    </row>
    <row r="411" spans="1:7" x14ac:dyDescent="0.25">
      <c r="A411" t="s">
        <v>53</v>
      </c>
      <c r="B411" s="12">
        <f t="shared" si="29"/>
        <v>41774</v>
      </c>
      <c r="C411" s="15">
        <v>1</v>
      </c>
      <c r="D411" s="16" t="s">
        <v>323</v>
      </c>
      <c r="E411" s="16">
        <v>42.3</v>
      </c>
      <c r="F411" s="16">
        <v>2.3296000000000001</v>
      </c>
      <c r="G411" s="16">
        <v>2.3296000000000001</v>
      </c>
    </row>
    <row r="412" spans="1:7" x14ac:dyDescent="0.25">
      <c r="A412" t="s">
        <v>53</v>
      </c>
      <c r="B412" s="12">
        <f t="shared" si="29"/>
        <v>41774</v>
      </c>
      <c r="C412" s="15">
        <v>2</v>
      </c>
      <c r="D412" s="16" t="s">
        <v>314</v>
      </c>
      <c r="E412" s="16">
        <v>31</v>
      </c>
      <c r="F412" s="16">
        <v>6.6666670000000003</v>
      </c>
      <c r="G412" s="16">
        <v>6.6666670000000003</v>
      </c>
    </row>
    <row r="413" spans="1:7" x14ac:dyDescent="0.25">
      <c r="A413" t="s">
        <v>53</v>
      </c>
      <c r="B413" s="12">
        <f t="shared" si="29"/>
        <v>41774</v>
      </c>
      <c r="C413" s="15">
        <v>2</v>
      </c>
      <c r="D413" s="16" t="s">
        <v>315</v>
      </c>
      <c r="E413" s="16">
        <v>1</v>
      </c>
      <c r="F413" s="16">
        <v>2</v>
      </c>
      <c r="G413" s="16">
        <v>2</v>
      </c>
    </row>
    <row r="414" spans="1:7" x14ac:dyDescent="0.25">
      <c r="A414" t="s">
        <v>53</v>
      </c>
      <c r="B414" s="12">
        <f t="shared" si="29"/>
        <v>41774</v>
      </c>
      <c r="C414" s="15">
        <v>2</v>
      </c>
      <c r="D414" s="16" t="s">
        <v>316</v>
      </c>
      <c r="E414" s="16">
        <v>2</v>
      </c>
      <c r="F414" s="16">
        <v>2.8571430000000002</v>
      </c>
      <c r="G414" s="16">
        <v>2.8571430000000002</v>
      </c>
    </row>
    <row r="415" spans="1:7" x14ac:dyDescent="0.25">
      <c r="A415" t="s">
        <v>53</v>
      </c>
      <c r="B415" s="12">
        <f t="shared" si="29"/>
        <v>41774</v>
      </c>
      <c r="C415" s="15">
        <v>2</v>
      </c>
      <c r="D415" s="16" t="s">
        <v>317</v>
      </c>
      <c r="E415" s="16">
        <v>9.9</v>
      </c>
      <c r="F415" s="16">
        <v>2.139535</v>
      </c>
      <c r="G415" s="16">
        <v>2.139535</v>
      </c>
    </row>
    <row r="416" spans="1:7" x14ac:dyDescent="0.25">
      <c r="A416" t="s">
        <v>53</v>
      </c>
      <c r="B416" s="12">
        <f t="shared" si="29"/>
        <v>41774</v>
      </c>
      <c r="C416" s="15">
        <v>2</v>
      </c>
      <c r="D416" s="16" t="s">
        <v>319</v>
      </c>
      <c r="E416" s="16">
        <v>1</v>
      </c>
      <c r="F416" s="16">
        <v>3.3333333299999999</v>
      </c>
      <c r="G416" s="16">
        <v>3.3333333299999999</v>
      </c>
    </row>
    <row r="417" spans="1:7" x14ac:dyDescent="0.25">
      <c r="A417" t="s">
        <v>53</v>
      </c>
      <c r="B417" s="12">
        <f t="shared" si="29"/>
        <v>41774</v>
      </c>
      <c r="C417" s="15">
        <v>2</v>
      </c>
      <c r="D417" s="16" t="s">
        <v>318</v>
      </c>
      <c r="E417" s="16">
        <v>2</v>
      </c>
      <c r="F417" s="16">
        <v>2.8571430000000002</v>
      </c>
      <c r="G417" s="16">
        <v>2.8571430000000002</v>
      </c>
    </row>
    <row r="418" spans="1:7" x14ac:dyDescent="0.25">
      <c r="A418" t="s">
        <v>53</v>
      </c>
      <c r="B418" s="12">
        <f t="shared" si="29"/>
        <v>41774</v>
      </c>
      <c r="C418" s="15">
        <v>2</v>
      </c>
      <c r="D418" s="16" t="s">
        <v>320</v>
      </c>
      <c r="E418" s="16">
        <v>20.399999999999999</v>
      </c>
      <c r="F418" s="16">
        <v>8.7200000000000006</v>
      </c>
      <c r="G418" s="16">
        <v>8.7200000000000006</v>
      </c>
    </row>
    <row r="419" spans="1:7" x14ac:dyDescent="0.25">
      <c r="A419" t="s">
        <v>53</v>
      </c>
      <c r="B419" s="12">
        <f t="shared" si="29"/>
        <v>41774</v>
      </c>
      <c r="C419" s="15">
        <v>2</v>
      </c>
      <c r="D419" s="16" t="s">
        <v>321</v>
      </c>
      <c r="E419" s="16">
        <v>5.4</v>
      </c>
      <c r="F419" s="16">
        <v>5.4596999999999998</v>
      </c>
      <c r="G419" s="16">
        <v>5.4596999999999998</v>
      </c>
    </row>
    <row r="420" spans="1:7" x14ac:dyDescent="0.25">
      <c r="A420" t="s">
        <v>53</v>
      </c>
      <c r="B420" s="12">
        <f t="shared" si="29"/>
        <v>41774</v>
      </c>
      <c r="C420" s="15">
        <v>2</v>
      </c>
      <c r="D420" s="16" t="s">
        <v>322</v>
      </c>
      <c r="E420" s="16">
        <v>0</v>
      </c>
      <c r="F420" s="16">
        <v>0</v>
      </c>
      <c r="G420" s="16">
        <v>0</v>
      </c>
    </row>
    <row r="421" spans="1:7" x14ac:dyDescent="0.25">
      <c r="A421" t="s">
        <v>53</v>
      </c>
      <c r="B421" s="12">
        <f t="shared" si="29"/>
        <v>41774</v>
      </c>
      <c r="C421" s="15">
        <v>2</v>
      </c>
      <c r="D421" s="16" t="s">
        <v>323</v>
      </c>
      <c r="E421" s="16">
        <v>42.8</v>
      </c>
      <c r="F421" s="16">
        <v>2.3009149999999998</v>
      </c>
      <c r="G421" s="16">
        <v>2.3009149999999998</v>
      </c>
    </row>
    <row r="422" spans="1:7" x14ac:dyDescent="0.25">
      <c r="A422" t="s">
        <v>56</v>
      </c>
      <c r="B422" s="12">
        <v>41760</v>
      </c>
      <c r="C422" s="15">
        <v>1</v>
      </c>
      <c r="D422" s="16" t="s">
        <v>314</v>
      </c>
      <c r="E422" s="16">
        <v>25</v>
      </c>
      <c r="F422" s="16">
        <v>4.1666667000000004</v>
      </c>
      <c r="G422" s="16">
        <v>4.1666667000000004</v>
      </c>
    </row>
    <row r="423" spans="1:7" x14ac:dyDescent="0.25">
      <c r="A423" t="s">
        <v>56</v>
      </c>
      <c r="B423" s="12">
        <f>B422</f>
        <v>41760</v>
      </c>
      <c r="C423" s="15">
        <v>1</v>
      </c>
      <c r="D423" s="16" t="s">
        <v>315</v>
      </c>
      <c r="E423" s="16">
        <v>1</v>
      </c>
      <c r="F423" s="16">
        <v>2</v>
      </c>
      <c r="G423" s="16">
        <v>2</v>
      </c>
    </row>
    <row r="424" spans="1:7" x14ac:dyDescent="0.25">
      <c r="A424" t="s">
        <v>56</v>
      </c>
      <c r="B424" s="12">
        <f t="shared" ref="B424:B441" si="30">B423</f>
        <v>41760</v>
      </c>
      <c r="C424" s="15">
        <v>1</v>
      </c>
      <c r="D424" s="16" t="s">
        <v>316</v>
      </c>
      <c r="E424" s="16">
        <v>4</v>
      </c>
      <c r="F424" s="16">
        <v>5.7142860000000004</v>
      </c>
      <c r="G424" s="16">
        <v>5.7142860000000004</v>
      </c>
    </row>
    <row r="425" spans="1:7" x14ac:dyDescent="0.25">
      <c r="A425" t="s">
        <v>56</v>
      </c>
      <c r="B425" s="12">
        <f t="shared" si="30"/>
        <v>41760</v>
      </c>
      <c r="C425" s="15">
        <v>1</v>
      </c>
      <c r="D425" s="16" t="s">
        <v>317</v>
      </c>
      <c r="E425" s="16">
        <v>30.1</v>
      </c>
      <c r="F425" s="16">
        <v>6.8369999999999997</v>
      </c>
      <c r="G425" s="16">
        <v>6.8369999999999997</v>
      </c>
    </row>
    <row r="426" spans="1:7" x14ac:dyDescent="0.25">
      <c r="A426" t="s">
        <v>56</v>
      </c>
      <c r="B426" s="12">
        <f t="shared" si="30"/>
        <v>41760</v>
      </c>
      <c r="C426" s="15">
        <v>1</v>
      </c>
      <c r="D426" s="16" t="s">
        <v>319</v>
      </c>
      <c r="E426" s="16">
        <v>1</v>
      </c>
      <c r="F426" s="16">
        <v>3.3333333000000001</v>
      </c>
      <c r="G426" s="16">
        <v>3.3333333000000001</v>
      </c>
    </row>
    <row r="427" spans="1:7" x14ac:dyDescent="0.25">
      <c r="A427" t="s">
        <v>56</v>
      </c>
      <c r="B427" s="12">
        <f t="shared" si="30"/>
        <v>41760</v>
      </c>
      <c r="C427" s="15">
        <v>1</v>
      </c>
      <c r="D427" s="16" t="s">
        <v>318</v>
      </c>
      <c r="E427" s="16">
        <v>4</v>
      </c>
      <c r="F427" s="16">
        <v>5.7142860000000004</v>
      </c>
      <c r="G427" s="16">
        <v>5.7142860000000004</v>
      </c>
    </row>
    <row r="428" spans="1:7" x14ac:dyDescent="0.25">
      <c r="A428" t="s">
        <v>56</v>
      </c>
      <c r="B428" s="12">
        <f t="shared" si="30"/>
        <v>41760</v>
      </c>
      <c r="C428" s="15">
        <v>1</v>
      </c>
      <c r="D428" s="16" t="s">
        <v>320</v>
      </c>
      <c r="E428" s="16">
        <v>29.7</v>
      </c>
      <c r="F428" s="16">
        <v>6.86</v>
      </c>
      <c r="G428" s="16">
        <v>6.86</v>
      </c>
    </row>
    <row r="429" spans="1:7" x14ac:dyDescent="0.25">
      <c r="A429" t="s">
        <v>56</v>
      </c>
      <c r="B429" s="12">
        <f t="shared" si="30"/>
        <v>41760</v>
      </c>
      <c r="C429" s="15">
        <v>1</v>
      </c>
      <c r="D429" s="16" t="s">
        <v>321</v>
      </c>
      <c r="E429" s="16">
        <v>2</v>
      </c>
      <c r="F429" s="16">
        <v>3.2312129999999999</v>
      </c>
      <c r="G429" s="16">
        <v>3.2312129999999999</v>
      </c>
    </row>
    <row r="430" spans="1:7" x14ac:dyDescent="0.25">
      <c r="A430" t="s">
        <v>56</v>
      </c>
      <c r="B430" s="12">
        <f t="shared" si="30"/>
        <v>41760</v>
      </c>
      <c r="C430" s="15">
        <v>1</v>
      </c>
      <c r="D430" s="16" t="s">
        <v>322</v>
      </c>
      <c r="E430" s="16">
        <v>0</v>
      </c>
      <c r="F430" s="16">
        <v>0</v>
      </c>
      <c r="G430" s="16">
        <v>0</v>
      </c>
    </row>
    <row r="431" spans="1:7" x14ac:dyDescent="0.25">
      <c r="A431" t="s">
        <v>56</v>
      </c>
      <c r="B431" s="12">
        <f t="shared" si="30"/>
        <v>41760</v>
      </c>
      <c r="C431" s="15">
        <v>1</v>
      </c>
      <c r="D431" s="16" t="s">
        <v>323</v>
      </c>
      <c r="E431" s="16">
        <v>8.1</v>
      </c>
      <c r="F431" s="16">
        <v>6.2290000000000001</v>
      </c>
      <c r="G431" s="16">
        <v>6.2290000000000001</v>
      </c>
    </row>
    <row r="432" spans="1:7" x14ac:dyDescent="0.25">
      <c r="A432" t="s">
        <v>56</v>
      </c>
      <c r="B432" s="12">
        <f t="shared" si="30"/>
        <v>41760</v>
      </c>
      <c r="C432" s="15">
        <v>2</v>
      </c>
      <c r="D432" s="16" t="s">
        <v>314</v>
      </c>
      <c r="E432" s="16">
        <v>21</v>
      </c>
      <c r="F432" s="16">
        <v>2.5</v>
      </c>
      <c r="G432" s="16">
        <v>2.5</v>
      </c>
    </row>
    <row r="433" spans="1:7" x14ac:dyDescent="0.25">
      <c r="A433" t="s">
        <v>56</v>
      </c>
      <c r="B433" s="12">
        <f t="shared" si="30"/>
        <v>41760</v>
      </c>
      <c r="C433" s="15">
        <v>2</v>
      </c>
      <c r="D433" s="16" t="s">
        <v>315</v>
      </c>
      <c r="E433" s="16">
        <v>1</v>
      </c>
      <c r="F433" s="16">
        <v>2</v>
      </c>
      <c r="G433" s="16">
        <v>2</v>
      </c>
    </row>
    <row r="434" spans="1:7" x14ac:dyDescent="0.25">
      <c r="A434" t="s">
        <v>56</v>
      </c>
      <c r="B434" s="12">
        <f t="shared" si="30"/>
        <v>41760</v>
      </c>
      <c r="C434" s="15">
        <v>2</v>
      </c>
      <c r="D434" s="16" t="s">
        <v>316</v>
      </c>
      <c r="E434" s="16">
        <v>2</v>
      </c>
      <c r="F434" s="16">
        <v>2.8570000000000002</v>
      </c>
      <c r="G434" s="16">
        <v>2.8570000000000002</v>
      </c>
    </row>
    <row r="435" spans="1:7" x14ac:dyDescent="0.25">
      <c r="A435" t="s">
        <v>56</v>
      </c>
      <c r="B435" s="12">
        <f t="shared" si="30"/>
        <v>41760</v>
      </c>
      <c r="C435" s="15">
        <v>2</v>
      </c>
      <c r="D435" s="16" t="s">
        <v>317</v>
      </c>
      <c r="E435" s="16">
        <v>23.3</v>
      </c>
      <c r="F435" s="16">
        <v>5.2557999999999998</v>
      </c>
      <c r="G435" s="16">
        <v>5.2557999999999998</v>
      </c>
    </row>
    <row r="436" spans="1:7" x14ac:dyDescent="0.25">
      <c r="A436" t="s">
        <v>56</v>
      </c>
      <c r="B436" s="12">
        <f t="shared" si="30"/>
        <v>41760</v>
      </c>
      <c r="C436" s="15">
        <v>2</v>
      </c>
      <c r="D436" s="16" t="s">
        <v>319</v>
      </c>
      <c r="E436" s="16">
        <v>1</v>
      </c>
      <c r="F436" s="16">
        <v>3.3333333000000001</v>
      </c>
      <c r="G436" s="16">
        <v>3.3333333000000001</v>
      </c>
    </row>
    <row r="437" spans="1:7" x14ac:dyDescent="0.25">
      <c r="A437" t="s">
        <v>56</v>
      </c>
      <c r="B437" s="12">
        <f t="shared" si="30"/>
        <v>41760</v>
      </c>
      <c r="C437" s="15">
        <v>2</v>
      </c>
      <c r="D437" s="16" t="s">
        <v>318</v>
      </c>
      <c r="E437" s="16">
        <v>2</v>
      </c>
      <c r="F437" s="16">
        <v>2.8570000000000002</v>
      </c>
      <c r="G437" s="16">
        <v>2.8570000000000002</v>
      </c>
    </row>
    <row r="438" spans="1:7" x14ac:dyDescent="0.25">
      <c r="A438" t="s">
        <v>56</v>
      </c>
      <c r="B438" s="12">
        <f t="shared" si="30"/>
        <v>41760</v>
      </c>
      <c r="C438" s="15">
        <v>2</v>
      </c>
      <c r="D438" s="16" t="s">
        <v>320</v>
      </c>
      <c r="E438" s="16">
        <v>23.6</v>
      </c>
      <c r="F438" s="16">
        <v>8.08</v>
      </c>
      <c r="G438" s="16">
        <v>8.08</v>
      </c>
    </row>
    <row r="439" spans="1:7" x14ac:dyDescent="0.25">
      <c r="A439" t="s">
        <v>56</v>
      </c>
      <c r="B439" s="12">
        <f t="shared" si="30"/>
        <v>41760</v>
      </c>
      <c r="C439" s="15">
        <v>2</v>
      </c>
      <c r="D439" s="16" t="s">
        <v>321</v>
      </c>
      <c r="E439" s="16">
        <v>0</v>
      </c>
      <c r="F439" s="16">
        <v>0</v>
      </c>
      <c r="G439" s="16">
        <v>0</v>
      </c>
    </row>
    <row r="440" spans="1:7" x14ac:dyDescent="0.25">
      <c r="A440" t="s">
        <v>56</v>
      </c>
      <c r="B440" s="12">
        <f t="shared" si="30"/>
        <v>41760</v>
      </c>
      <c r="C440" s="15">
        <v>2</v>
      </c>
      <c r="D440" s="16" t="s">
        <v>322</v>
      </c>
      <c r="E440" s="16">
        <v>0</v>
      </c>
      <c r="F440" s="16">
        <v>0</v>
      </c>
      <c r="G440" s="16">
        <v>0</v>
      </c>
    </row>
    <row r="441" spans="1:7" x14ac:dyDescent="0.25">
      <c r="A441" t="s">
        <v>56</v>
      </c>
      <c r="B441" s="12">
        <f t="shared" si="30"/>
        <v>41760</v>
      </c>
      <c r="C441" s="15">
        <v>2</v>
      </c>
      <c r="D441" s="16" t="s">
        <v>323</v>
      </c>
      <c r="E441" s="16">
        <v>12.8</v>
      </c>
      <c r="F441" s="16">
        <v>5.1879999999999997</v>
      </c>
      <c r="G441" s="16">
        <v>5.1879999999999997</v>
      </c>
    </row>
    <row r="442" spans="1:7" x14ac:dyDescent="0.25">
      <c r="A442" t="s">
        <v>56</v>
      </c>
      <c r="B442" s="12">
        <v>41921</v>
      </c>
      <c r="C442" s="15">
        <v>1</v>
      </c>
      <c r="D442" s="16" t="s">
        <v>314</v>
      </c>
      <c r="E442" s="16">
        <v>29</v>
      </c>
      <c r="F442" s="16">
        <v>5.8333333333333304</v>
      </c>
      <c r="G442" s="16">
        <v>5.8333333333333304</v>
      </c>
    </row>
    <row r="443" spans="1:7" x14ac:dyDescent="0.25">
      <c r="A443" t="s">
        <v>56</v>
      </c>
      <c r="B443" s="12">
        <f>B442</f>
        <v>41921</v>
      </c>
      <c r="C443" s="15">
        <v>1</v>
      </c>
      <c r="D443" s="16" t="s">
        <v>315</v>
      </c>
      <c r="E443" s="16">
        <v>1</v>
      </c>
      <c r="F443" s="16">
        <v>2</v>
      </c>
      <c r="G443" s="16">
        <v>2</v>
      </c>
    </row>
    <row r="444" spans="1:7" x14ac:dyDescent="0.25">
      <c r="A444" t="s">
        <v>56</v>
      </c>
      <c r="B444" s="12">
        <f t="shared" ref="B444:B461" si="31">B443</f>
        <v>41921</v>
      </c>
      <c r="C444" s="15">
        <v>1</v>
      </c>
      <c r="D444" s="16" t="s">
        <v>316</v>
      </c>
      <c r="E444" s="16">
        <v>4</v>
      </c>
      <c r="F444" s="16">
        <v>5.7140000000000004</v>
      </c>
      <c r="G444" s="16">
        <v>5.7140000000000004</v>
      </c>
    </row>
    <row r="445" spans="1:7" x14ac:dyDescent="0.25">
      <c r="A445" t="s">
        <v>56</v>
      </c>
      <c r="B445" s="12">
        <f t="shared" si="31"/>
        <v>41921</v>
      </c>
      <c r="C445" s="15">
        <v>1</v>
      </c>
      <c r="D445" s="16" t="s">
        <v>317</v>
      </c>
      <c r="E445" s="16">
        <v>5.0999999999999996</v>
      </c>
      <c r="F445" s="16">
        <v>1.0229999999999999</v>
      </c>
      <c r="G445" s="16">
        <v>1.0229999999999999</v>
      </c>
    </row>
    <row r="446" spans="1:7" x14ac:dyDescent="0.25">
      <c r="A446" t="s">
        <v>56</v>
      </c>
      <c r="B446" s="12">
        <f t="shared" si="31"/>
        <v>41921</v>
      </c>
      <c r="C446" s="15">
        <v>1</v>
      </c>
      <c r="D446" s="16" t="s">
        <v>319</v>
      </c>
      <c r="E446" s="16">
        <v>0</v>
      </c>
      <c r="F446" s="16">
        <v>0</v>
      </c>
      <c r="G446" s="16">
        <v>0</v>
      </c>
    </row>
    <row r="447" spans="1:7" x14ac:dyDescent="0.25">
      <c r="A447" t="s">
        <v>56</v>
      </c>
      <c r="B447" s="12">
        <f t="shared" si="31"/>
        <v>41921</v>
      </c>
      <c r="C447" s="15">
        <v>1</v>
      </c>
      <c r="D447" s="16" t="s">
        <v>318</v>
      </c>
      <c r="E447" s="16">
        <v>3</v>
      </c>
      <c r="F447" s="16">
        <v>4.2850000000000001</v>
      </c>
      <c r="G447" s="16">
        <v>4.2850000000000001</v>
      </c>
    </row>
    <row r="448" spans="1:7" x14ac:dyDescent="0.25">
      <c r="A448" t="s">
        <v>56</v>
      </c>
      <c r="B448" s="12">
        <f t="shared" si="31"/>
        <v>41921</v>
      </c>
      <c r="C448" s="15">
        <v>1</v>
      </c>
      <c r="D448" s="16" t="s">
        <v>320</v>
      </c>
      <c r="E448" s="16">
        <v>28.5</v>
      </c>
      <c r="F448" s="16">
        <v>7.1</v>
      </c>
      <c r="G448" s="16">
        <v>7.1</v>
      </c>
    </row>
    <row r="449" spans="1:7" x14ac:dyDescent="0.25">
      <c r="A449" t="s">
        <v>56</v>
      </c>
      <c r="B449" s="12">
        <f t="shared" si="31"/>
        <v>41921</v>
      </c>
      <c r="C449" s="15">
        <v>1</v>
      </c>
      <c r="D449" s="16" t="s">
        <v>321</v>
      </c>
      <c r="E449" s="16">
        <v>0</v>
      </c>
      <c r="F449" s="16">
        <v>0</v>
      </c>
      <c r="G449" s="16">
        <v>0</v>
      </c>
    </row>
    <row r="450" spans="1:7" x14ac:dyDescent="0.25">
      <c r="A450" t="s">
        <v>56</v>
      </c>
      <c r="B450" s="12">
        <f t="shared" si="31"/>
        <v>41921</v>
      </c>
      <c r="C450" s="15">
        <v>1</v>
      </c>
      <c r="D450" s="16" t="s">
        <v>322</v>
      </c>
      <c r="E450" s="16">
        <v>0</v>
      </c>
      <c r="F450" s="16">
        <v>0</v>
      </c>
      <c r="G450" s="16">
        <v>0</v>
      </c>
    </row>
    <row r="451" spans="1:7" x14ac:dyDescent="0.25">
      <c r="A451" t="s">
        <v>56</v>
      </c>
      <c r="B451" s="12">
        <f t="shared" si="31"/>
        <v>41921</v>
      </c>
      <c r="C451" s="15">
        <v>1</v>
      </c>
      <c r="D451" s="16" t="s">
        <v>323</v>
      </c>
      <c r="E451" s="16">
        <v>25.3</v>
      </c>
      <c r="F451" s="16">
        <v>3.5760000000000001</v>
      </c>
      <c r="G451" s="16">
        <v>3.5190000000000001</v>
      </c>
    </row>
    <row r="452" spans="1:7" x14ac:dyDescent="0.25">
      <c r="A452" t="s">
        <v>56</v>
      </c>
      <c r="B452" s="12">
        <f t="shared" si="31"/>
        <v>41921</v>
      </c>
      <c r="C452" s="15">
        <v>2</v>
      </c>
      <c r="D452" s="16" t="s">
        <v>314</v>
      </c>
      <c r="E452" s="16">
        <v>20</v>
      </c>
      <c r="F452" s="16">
        <v>2.0833333333333002</v>
      </c>
      <c r="G452" s="16">
        <v>2.0833333333333002</v>
      </c>
    </row>
    <row r="453" spans="1:7" x14ac:dyDescent="0.25">
      <c r="A453" t="s">
        <v>56</v>
      </c>
      <c r="B453" s="12">
        <f t="shared" si="31"/>
        <v>41921</v>
      </c>
      <c r="C453" s="15">
        <v>2</v>
      </c>
      <c r="D453" s="16" t="s">
        <v>315</v>
      </c>
      <c r="E453" s="16">
        <v>1</v>
      </c>
      <c r="F453" s="16">
        <v>2</v>
      </c>
      <c r="G453" s="16">
        <v>2</v>
      </c>
    </row>
    <row r="454" spans="1:7" x14ac:dyDescent="0.25">
      <c r="A454" t="s">
        <v>56</v>
      </c>
      <c r="B454" s="12">
        <f t="shared" si="31"/>
        <v>41921</v>
      </c>
      <c r="C454" s="15">
        <v>2</v>
      </c>
      <c r="D454" s="16" t="s">
        <v>316</v>
      </c>
      <c r="E454" s="16">
        <v>1</v>
      </c>
      <c r="F454" s="16">
        <v>1.4285000000000001</v>
      </c>
      <c r="G454" s="16">
        <v>1.4285000000000001</v>
      </c>
    </row>
    <row r="455" spans="1:7" x14ac:dyDescent="0.25">
      <c r="A455" t="s">
        <v>56</v>
      </c>
      <c r="B455" s="12">
        <f t="shared" si="31"/>
        <v>41921</v>
      </c>
      <c r="C455" s="15">
        <v>2</v>
      </c>
      <c r="D455" s="16" t="s">
        <v>317</v>
      </c>
      <c r="E455" s="16">
        <v>9.5</v>
      </c>
      <c r="F455" s="16">
        <v>2.0465</v>
      </c>
      <c r="G455" s="16">
        <v>2.0465</v>
      </c>
    </row>
    <row r="456" spans="1:7" x14ac:dyDescent="0.25">
      <c r="A456" t="s">
        <v>56</v>
      </c>
      <c r="B456" s="12">
        <f t="shared" si="31"/>
        <v>41921</v>
      </c>
      <c r="C456" s="15">
        <v>2</v>
      </c>
      <c r="D456" s="16" t="s">
        <v>319</v>
      </c>
      <c r="E456" s="16">
        <v>2</v>
      </c>
      <c r="F456" s="16">
        <v>6.6666699999999999</v>
      </c>
      <c r="G456" s="16">
        <v>6.6666699999999999</v>
      </c>
    </row>
    <row r="457" spans="1:7" x14ac:dyDescent="0.25">
      <c r="A457" t="s">
        <v>56</v>
      </c>
      <c r="B457" s="12">
        <f t="shared" si="31"/>
        <v>41921</v>
      </c>
      <c r="C457" s="15">
        <v>2</v>
      </c>
      <c r="D457" s="16" t="s">
        <v>318</v>
      </c>
      <c r="E457" s="16">
        <v>1</v>
      </c>
      <c r="F457" s="16">
        <v>1.4279999999999999</v>
      </c>
      <c r="G457" s="16">
        <v>1.4279999999999999</v>
      </c>
    </row>
    <row r="458" spans="1:7" x14ac:dyDescent="0.25">
      <c r="A458" t="s">
        <v>56</v>
      </c>
      <c r="B458" s="12">
        <f t="shared" si="31"/>
        <v>41921</v>
      </c>
      <c r="C458" s="15">
        <v>2</v>
      </c>
      <c r="D458" s="16" t="s">
        <v>320</v>
      </c>
      <c r="E458" s="16">
        <v>26.8</v>
      </c>
      <c r="F458" s="16">
        <v>7.44</v>
      </c>
      <c r="G458" s="16">
        <v>7.44</v>
      </c>
    </row>
    <row r="459" spans="1:7" x14ac:dyDescent="0.25">
      <c r="A459" t="s">
        <v>56</v>
      </c>
      <c r="B459" s="12">
        <f t="shared" si="31"/>
        <v>41921</v>
      </c>
      <c r="C459" s="15">
        <v>2</v>
      </c>
      <c r="D459" s="16" t="s">
        <v>321</v>
      </c>
      <c r="E459" s="16">
        <v>0</v>
      </c>
      <c r="F459" s="16">
        <v>0</v>
      </c>
      <c r="G459" s="16">
        <v>0</v>
      </c>
    </row>
    <row r="460" spans="1:7" x14ac:dyDescent="0.25">
      <c r="A460" t="s">
        <v>56</v>
      </c>
      <c r="B460" s="12">
        <f t="shared" si="31"/>
        <v>41921</v>
      </c>
      <c r="C460" s="15">
        <v>2</v>
      </c>
      <c r="D460" s="16" t="s">
        <v>322</v>
      </c>
      <c r="E460" s="16">
        <v>0</v>
      </c>
      <c r="F460" s="16">
        <v>0</v>
      </c>
      <c r="G460" s="16">
        <v>0</v>
      </c>
    </row>
    <row r="461" spans="1:7" x14ac:dyDescent="0.25">
      <c r="A461" t="s">
        <v>56</v>
      </c>
      <c r="B461" s="12">
        <f t="shared" si="31"/>
        <v>41921</v>
      </c>
      <c r="C461" s="15">
        <v>2</v>
      </c>
      <c r="D461" s="16" t="s">
        <v>323</v>
      </c>
      <c r="E461" s="16">
        <v>19.7</v>
      </c>
      <c r="F461" s="16">
        <v>4.1746660000000002</v>
      </c>
      <c r="G461" s="16">
        <v>3.8574989999999998</v>
      </c>
    </row>
    <row r="462" spans="1:7" x14ac:dyDescent="0.25">
      <c r="A462" t="s">
        <v>6</v>
      </c>
      <c r="B462" s="12">
        <v>42094</v>
      </c>
      <c r="C462" s="15">
        <v>1</v>
      </c>
      <c r="D462" s="16" t="s">
        <v>314</v>
      </c>
      <c r="E462" s="16">
        <v>16</v>
      </c>
      <c r="F462" s="16">
        <v>0.4166667</v>
      </c>
      <c r="G462" s="16">
        <v>0.4166667</v>
      </c>
    </row>
    <row r="463" spans="1:7" x14ac:dyDescent="0.25">
      <c r="A463" t="s">
        <v>6</v>
      </c>
      <c r="B463" s="12">
        <f>B462</f>
        <v>42094</v>
      </c>
      <c r="C463" s="15">
        <v>1</v>
      </c>
      <c r="D463" s="16" t="s">
        <v>315</v>
      </c>
      <c r="E463" s="16">
        <v>2</v>
      </c>
      <c r="F463" s="16">
        <v>4</v>
      </c>
      <c r="G463" s="16">
        <v>4</v>
      </c>
    </row>
    <row r="464" spans="1:7" x14ac:dyDescent="0.25">
      <c r="A464" t="s">
        <v>6</v>
      </c>
      <c r="B464" s="12">
        <f t="shared" ref="B464:B481" si="32">B463</f>
        <v>42094</v>
      </c>
      <c r="C464" s="15">
        <v>1</v>
      </c>
      <c r="D464" s="16" t="s">
        <v>316</v>
      </c>
      <c r="E464" s="16">
        <v>1</v>
      </c>
      <c r="F464" s="16">
        <v>1.4285000000000001</v>
      </c>
      <c r="G464" s="16">
        <v>1.4285000000000001</v>
      </c>
    </row>
    <row r="465" spans="1:7" x14ac:dyDescent="0.25">
      <c r="A465" t="s">
        <v>6</v>
      </c>
      <c r="B465" s="12">
        <f t="shared" si="32"/>
        <v>42094</v>
      </c>
      <c r="C465" s="15">
        <v>1</v>
      </c>
      <c r="D465" s="16" t="s">
        <v>317</v>
      </c>
      <c r="E465" s="16">
        <v>20.399999999999999</v>
      </c>
      <c r="F465" s="16">
        <v>4.5810000000000004</v>
      </c>
      <c r="G465" s="16">
        <v>4.5810000000000004</v>
      </c>
    </row>
    <row r="466" spans="1:7" x14ac:dyDescent="0.25">
      <c r="A466" t="s">
        <v>6</v>
      </c>
      <c r="B466" s="12">
        <f t="shared" si="32"/>
        <v>42094</v>
      </c>
      <c r="C466" s="15">
        <v>1</v>
      </c>
      <c r="D466" s="16" t="s">
        <v>319</v>
      </c>
      <c r="E466" s="16">
        <v>0</v>
      </c>
      <c r="F466" s="16">
        <v>0</v>
      </c>
      <c r="G466" s="16">
        <v>0</v>
      </c>
    </row>
    <row r="467" spans="1:7" x14ac:dyDescent="0.25">
      <c r="A467" t="s">
        <v>6</v>
      </c>
      <c r="B467" s="12">
        <f t="shared" si="32"/>
        <v>42094</v>
      </c>
      <c r="C467" s="15">
        <v>1</v>
      </c>
      <c r="D467" s="16" t="s">
        <v>318</v>
      </c>
      <c r="E467" s="16">
        <v>1</v>
      </c>
      <c r="F467" s="16">
        <v>1.4279999999999999</v>
      </c>
      <c r="G467" s="16">
        <v>1.4279999999999999</v>
      </c>
    </row>
    <row r="468" spans="1:7" x14ac:dyDescent="0.25">
      <c r="A468" t="s">
        <v>6</v>
      </c>
      <c r="B468" s="12">
        <f t="shared" si="32"/>
        <v>42094</v>
      </c>
      <c r="C468" s="15">
        <v>1</v>
      </c>
      <c r="D468" s="16" t="s">
        <v>320</v>
      </c>
      <c r="E468" s="16">
        <v>46.5</v>
      </c>
      <c r="F468" s="16">
        <v>3.5</v>
      </c>
      <c r="G468" s="16">
        <v>3.5</v>
      </c>
    </row>
    <row r="469" spans="1:7" x14ac:dyDescent="0.25">
      <c r="A469" t="s">
        <v>6</v>
      </c>
      <c r="B469" s="12">
        <f t="shared" si="32"/>
        <v>42094</v>
      </c>
      <c r="C469" s="15">
        <v>1</v>
      </c>
      <c r="D469" s="16" t="s">
        <v>321</v>
      </c>
      <c r="E469" s="16">
        <v>0</v>
      </c>
      <c r="F469" s="16">
        <v>0</v>
      </c>
      <c r="G469" s="16">
        <v>0</v>
      </c>
    </row>
    <row r="470" spans="1:7" x14ac:dyDescent="0.25">
      <c r="A470" t="s">
        <v>6</v>
      </c>
      <c r="B470" s="12">
        <f t="shared" si="32"/>
        <v>42094</v>
      </c>
      <c r="C470" s="15">
        <v>1</v>
      </c>
      <c r="D470" s="16" t="s">
        <v>322</v>
      </c>
      <c r="E470" s="16">
        <v>0</v>
      </c>
      <c r="F470" s="16">
        <v>0</v>
      </c>
      <c r="G470" s="16">
        <v>0</v>
      </c>
    </row>
    <row r="471" spans="1:7" x14ac:dyDescent="0.25">
      <c r="A471" t="s">
        <v>6</v>
      </c>
      <c r="B471" s="12">
        <f t="shared" si="32"/>
        <v>42094</v>
      </c>
      <c r="C471" s="15">
        <v>1</v>
      </c>
      <c r="D471" s="16" t="s">
        <v>323</v>
      </c>
      <c r="E471" s="16">
        <v>6.4</v>
      </c>
      <c r="F471" s="16">
        <v>6.7460000000000004</v>
      </c>
      <c r="G471" s="16">
        <v>6.7460000000000004</v>
      </c>
    </row>
    <row r="472" spans="1:7" x14ac:dyDescent="0.25">
      <c r="A472" t="s">
        <v>6</v>
      </c>
      <c r="B472" s="12">
        <f t="shared" si="32"/>
        <v>42094</v>
      </c>
      <c r="C472" s="15">
        <v>2</v>
      </c>
      <c r="D472" s="16" t="s">
        <v>314</v>
      </c>
      <c r="E472" s="16">
        <v>16</v>
      </c>
      <c r="F472" s="16">
        <v>0.41666999999999998</v>
      </c>
      <c r="G472" s="16">
        <v>0.41666999999999998</v>
      </c>
    </row>
    <row r="473" spans="1:7" x14ac:dyDescent="0.25">
      <c r="A473" t="s">
        <v>6</v>
      </c>
      <c r="B473" s="12">
        <f t="shared" si="32"/>
        <v>42094</v>
      </c>
      <c r="C473" s="15">
        <v>2</v>
      </c>
      <c r="D473" s="16" t="s">
        <v>315</v>
      </c>
      <c r="E473" s="16">
        <v>2</v>
      </c>
      <c r="F473" s="16">
        <v>4</v>
      </c>
      <c r="G473" s="16">
        <v>4</v>
      </c>
    </row>
    <row r="474" spans="1:7" x14ac:dyDescent="0.25">
      <c r="A474" t="s">
        <v>6</v>
      </c>
      <c r="B474" s="12">
        <f t="shared" si="32"/>
        <v>42094</v>
      </c>
      <c r="C474" s="15">
        <v>2</v>
      </c>
      <c r="D474" s="16" t="s">
        <v>316</v>
      </c>
      <c r="E474" s="16">
        <v>3</v>
      </c>
      <c r="F474" s="16">
        <v>4.2850000000000001</v>
      </c>
      <c r="G474" s="16">
        <v>4.2850000000000001</v>
      </c>
    </row>
    <row r="475" spans="1:7" x14ac:dyDescent="0.25">
      <c r="A475" t="s">
        <v>6</v>
      </c>
      <c r="B475" s="12">
        <f t="shared" si="32"/>
        <v>42094</v>
      </c>
      <c r="C475" s="15">
        <v>2</v>
      </c>
      <c r="D475" s="16" t="s">
        <v>317</v>
      </c>
      <c r="E475" s="16">
        <v>8.9</v>
      </c>
      <c r="F475" s="16">
        <v>1.9059999999999999</v>
      </c>
      <c r="G475" s="16">
        <v>1.9059999999999999</v>
      </c>
    </row>
    <row r="476" spans="1:7" x14ac:dyDescent="0.25">
      <c r="A476" t="s">
        <v>6</v>
      </c>
      <c r="B476" s="12">
        <f t="shared" si="32"/>
        <v>42094</v>
      </c>
      <c r="C476" s="15">
        <v>2</v>
      </c>
      <c r="D476" s="16" t="s">
        <v>319</v>
      </c>
      <c r="E476" s="16">
        <v>0</v>
      </c>
      <c r="F476" s="16">
        <v>0</v>
      </c>
      <c r="G476" s="16">
        <v>0</v>
      </c>
    </row>
    <row r="477" spans="1:7" x14ac:dyDescent="0.25">
      <c r="A477" t="s">
        <v>6</v>
      </c>
      <c r="B477" s="12">
        <f t="shared" si="32"/>
        <v>42094</v>
      </c>
      <c r="C477" s="15">
        <v>2</v>
      </c>
      <c r="D477" s="16" t="s">
        <v>318</v>
      </c>
      <c r="E477" s="16">
        <v>3</v>
      </c>
      <c r="F477" s="16">
        <v>4.2857000000000003</v>
      </c>
      <c r="G477" s="16">
        <v>4.2857000000000003</v>
      </c>
    </row>
    <row r="478" spans="1:7" x14ac:dyDescent="0.25">
      <c r="A478" t="s">
        <v>6</v>
      </c>
      <c r="B478" s="12">
        <f t="shared" si="32"/>
        <v>42094</v>
      </c>
      <c r="C478" s="15">
        <v>2</v>
      </c>
      <c r="D478" s="16" t="s">
        <v>320</v>
      </c>
      <c r="E478" s="16">
        <v>54.1</v>
      </c>
      <c r="F478" s="16">
        <v>1.98</v>
      </c>
      <c r="G478" s="16">
        <v>1.98</v>
      </c>
    </row>
    <row r="479" spans="1:7" x14ac:dyDescent="0.25">
      <c r="A479" t="s">
        <v>6</v>
      </c>
      <c r="B479" s="12">
        <f t="shared" si="32"/>
        <v>42094</v>
      </c>
      <c r="C479" s="15">
        <v>2</v>
      </c>
      <c r="D479" s="16" t="s">
        <v>321</v>
      </c>
      <c r="E479" s="16">
        <v>0</v>
      </c>
      <c r="F479" s="16">
        <v>0</v>
      </c>
      <c r="G479" s="16">
        <v>0</v>
      </c>
    </row>
    <row r="480" spans="1:7" x14ac:dyDescent="0.25">
      <c r="A480" t="s">
        <v>6</v>
      </c>
      <c r="B480" s="12">
        <f t="shared" si="32"/>
        <v>42094</v>
      </c>
      <c r="C480" s="15">
        <v>2</v>
      </c>
      <c r="D480" s="16" t="s">
        <v>322</v>
      </c>
      <c r="E480" s="16">
        <v>0</v>
      </c>
      <c r="F480" s="16">
        <v>0</v>
      </c>
      <c r="G480" s="16">
        <v>0</v>
      </c>
    </row>
    <row r="481" spans="1:7" x14ac:dyDescent="0.25">
      <c r="A481" t="s">
        <v>6</v>
      </c>
      <c r="B481" s="12">
        <f t="shared" si="32"/>
        <v>42094</v>
      </c>
      <c r="C481" s="15">
        <v>2</v>
      </c>
      <c r="D481" s="16" t="s">
        <v>323</v>
      </c>
      <c r="E481" s="16">
        <v>6.8</v>
      </c>
      <c r="F481" s="16">
        <v>6.6139999999999999</v>
      </c>
      <c r="G481" s="16">
        <v>6.6139999999999999</v>
      </c>
    </row>
    <row r="482" spans="1:7" x14ac:dyDescent="0.25">
      <c r="A482" t="s">
        <v>6</v>
      </c>
      <c r="B482" s="12">
        <v>42303</v>
      </c>
      <c r="C482" s="15">
        <v>1</v>
      </c>
      <c r="D482" s="16" t="s">
        <v>314</v>
      </c>
      <c r="E482" s="16">
        <v>24</v>
      </c>
      <c r="F482" s="16">
        <v>3.75</v>
      </c>
      <c r="G482" s="16">
        <v>3.75</v>
      </c>
    </row>
    <row r="483" spans="1:7" x14ac:dyDescent="0.25">
      <c r="A483" t="s">
        <v>6</v>
      </c>
      <c r="B483" s="12">
        <f>B482</f>
        <v>42303</v>
      </c>
      <c r="C483" s="15">
        <v>1</v>
      </c>
      <c r="D483" s="16" t="s">
        <v>315</v>
      </c>
      <c r="E483" s="16">
        <v>2</v>
      </c>
      <c r="F483" s="16">
        <v>4</v>
      </c>
      <c r="G483" s="16">
        <v>4</v>
      </c>
    </row>
    <row r="484" spans="1:7" x14ac:dyDescent="0.25">
      <c r="A484" t="s">
        <v>6</v>
      </c>
      <c r="B484" s="12">
        <f t="shared" ref="B484:B501" si="33">B483</f>
        <v>42303</v>
      </c>
      <c r="C484" s="15">
        <v>1</v>
      </c>
      <c r="D484" s="16" t="s">
        <v>316</v>
      </c>
      <c r="E484" s="16">
        <v>3</v>
      </c>
      <c r="F484" s="16">
        <v>4.2850000000000001</v>
      </c>
      <c r="G484" s="16">
        <v>4.2850000000000001</v>
      </c>
    </row>
    <row r="485" spans="1:7" x14ac:dyDescent="0.25">
      <c r="A485" t="s">
        <v>6</v>
      </c>
      <c r="B485" s="12">
        <f t="shared" si="33"/>
        <v>42303</v>
      </c>
      <c r="C485" s="15">
        <v>1</v>
      </c>
      <c r="D485" s="16" t="s">
        <v>317</v>
      </c>
      <c r="E485" s="16">
        <v>18.2</v>
      </c>
      <c r="F485" s="16">
        <v>4.069</v>
      </c>
      <c r="G485" s="16">
        <v>4.069</v>
      </c>
    </row>
    <row r="486" spans="1:7" x14ac:dyDescent="0.25">
      <c r="A486" t="s">
        <v>6</v>
      </c>
      <c r="B486" s="12">
        <f t="shared" si="33"/>
        <v>42303</v>
      </c>
      <c r="C486" s="15">
        <v>1</v>
      </c>
      <c r="D486" s="16" t="s">
        <v>319</v>
      </c>
      <c r="E486" s="16">
        <v>1</v>
      </c>
      <c r="F486" s="16">
        <v>3.3333330000000001</v>
      </c>
      <c r="G486" s="16">
        <v>3.3333330000000001</v>
      </c>
    </row>
    <row r="487" spans="1:7" x14ac:dyDescent="0.25">
      <c r="A487" t="s">
        <v>6</v>
      </c>
      <c r="B487" s="12">
        <f t="shared" si="33"/>
        <v>42303</v>
      </c>
      <c r="C487" s="15">
        <v>1</v>
      </c>
      <c r="D487" s="16" t="s">
        <v>318</v>
      </c>
      <c r="E487" s="16">
        <v>5</v>
      </c>
      <c r="F487" s="16">
        <v>7.1420000000000003</v>
      </c>
      <c r="G487" s="16">
        <v>7.1420000000000003</v>
      </c>
    </row>
    <row r="488" spans="1:7" x14ac:dyDescent="0.25">
      <c r="A488" t="s">
        <v>6</v>
      </c>
      <c r="B488" s="12">
        <f t="shared" si="33"/>
        <v>42303</v>
      </c>
      <c r="C488" s="15">
        <v>1</v>
      </c>
      <c r="D488" s="16" t="s">
        <v>320</v>
      </c>
      <c r="E488" s="16">
        <v>25.2</v>
      </c>
      <c r="F488" s="16">
        <v>7.76</v>
      </c>
      <c r="G488" s="16">
        <v>7.76</v>
      </c>
    </row>
    <row r="489" spans="1:7" x14ac:dyDescent="0.25">
      <c r="A489" t="s">
        <v>6</v>
      </c>
      <c r="B489" s="12">
        <f t="shared" si="33"/>
        <v>42303</v>
      </c>
      <c r="C489" s="15">
        <v>1</v>
      </c>
      <c r="D489" s="16" t="s">
        <v>321</v>
      </c>
      <c r="E489" s="16">
        <v>3.1</v>
      </c>
      <c r="F489" s="16">
        <v>4.149</v>
      </c>
      <c r="G489" s="16">
        <v>4.149</v>
      </c>
    </row>
    <row r="490" spans="1:7" x14ac:dyDescent="0.25">
      <c r="A490" t="s">
        <v>6</v>
      </c>
      <c r="B490" s="12">
        <f t="shared" si="33"/>
        <v>42303</v>
      </c>
      <c r="C490" s="15">
        <v>1</v>
      </c>
      <c r="D490" s="16" t="s">
        <v>322</v>
      </c>
      <c r="E490" s="16">
        <v>0</v>
      </c>
      <c r="F490" s="16">
        <v>0</v>
      </c>
      <c r="G490" s="16">
        <v>0</v>
      </c>
    </row>
    <row r="491" spans="1:7" x14ac:dyDescent="0.25">
      <c r="A491" t="s">
        <v>6</v>
      </c>
      <c r="B491" s="12">
        <f t="shared" si="33"/>
        <v>42303</v>
      </c>
      <c r="C491" s="15">
        <v>1</v>
      </c>
      <c r="D491" s="16" t="s">
        <v>323</v>
      </c>
      <c r="E491" s="16">
        <v>6.3</v>
      </c>
      <c r="F491" s="16">
        <v>6.78</v>
      </c>
      <c r="G491" s="16">
        <v>6.78</v>
      </c>
    </row>
    <row r="492" spans="1:7" x14ac:dyDescent="0.25">
      <c r="A492" t="s">
        <v>6</v>
      </c>
      <c r="B492" s="12">
        <f t="shared" si="33"/>
        <v>42303</v>
      </c>
      <c r="C492" s="15">
        <v>2</v>
      </c>
      <c r="D492" s="16" t="s">
        <v>314</v>
      </c>
      <c r="E492" s="16">
        <v>19</v>
      </c>
      <c r="F492" s="16">
        <v>1.6666666999999999</v>
      </c>
      <c r="G492" s="16">
        <v>1.6666666999999999</v>
      </c>
    </row>
    <row r="493" spans="1:7" x14ac:dyDescent="0.25">
      <c r="A493" t="s">
        <v>6</v>
      </c>
      <c r="B493" s="12">
        <f t="shared" si="33"/>
        <v>42303</v>
      </c>
      <c r="C493" s="15">
        <v>2</v>
      </c>
      <c r="D493" s="16" t="s">
        <v>315</v>
      </c>
      <c r="E493" s="16">
        <v>2</v>
      </c>
      <c r="F493" s="16">
        <v>4</v>
      </c>
      <c r="G493" s="16">
        <v>4</v>
      </c>
    </row>
    <row r="494" spans="1:7" x14ac:dyDescent="0.25">
      <c r="A494" t="s">
        <v>6</v>
      </c>
      <c r="B494" s="12">
        <f t="shared" si="33"/>
        <v>42303</v>
      </c>
      <c r="C494" s="15">
        <v>2</v>
      </c>
      <c r="D494" s="16" t="s">
        <v>316</v>
      </c>
      <c r="E494" s="16">
        <v>2</v>
      </c>
      <c r="F494" s="16">
        <v>2.8570000000000002</v>
      </c>
      <c r="G494" s="16">
        <v>2.8570000000000002</v>
      </c>
    </row>
    <row r="495" spans="1:7" x14ac:dyDescent="0.25">
      <c r="A495" t="s">
        <v>6</v>
      </c>
      <c r="B495" s="12">
        <f t="shared" si="33"/>
        <v>42303</v>
      </c>
      <c r="C495" s="15">
        <v>2</v>
      </c>
      <c r="D495" s="16" t="s">
        <v>317</v>
      </c>
      <c r="E495" s="16">
        <v>23.8</v>
      </c>
      <c r="F495" s="16">
        <v>5.3719999999999999</v>
      </c>
      <c r="G495" s="16">
        <v>5.3719999999999999</v>
      </c>
    </row>
    <row r="496" spans="1:7" x14ac:dyDescent="0.25">
      <c r="A496" t="s">
        <v>6</v>
      </c>
      <c r="B496" s="12">
        <f t="shared" si="33"/>
        <v>42303</v>
      </c>
      <c r="C496" s="15">
        <v>2</v>
      </c>
      <c r="D496" s="16" t="s">
        <v>319</v>
      </c>
      <c r="E496" s="16">
        <v>2</v>
      </c>
      <c r="F496" s="16">
        <v>6.6666699999999999</v>
      </c>
      <c r="G496" s="16">
        <v>6.6666699999999999</v>
      </c>
    </row>
    <row r="497" spans="1:7" x14ac:dyDescent="0.25">
      <c r="A497" t="s">
        <v>6</v>
      </c>
      <c r="B497" s="12">
        <f t="shared" si="33"/>
        <v>42303</v>
      </c>
      <c r="C497" s="15">
        <v>2</v>
      </c>
      <c r="D497" s="16" t="s">
        <v>318</v>
      </c>
      <c r="E497" s="16">
        <v>4</v>
      </c>
      <c r="F497" s="16">
        <v>5.7141999999999999</v>
      </c>
      <c r="G497" s="16">
        <v>5.7141999999999999</v>
      </c>
    </row>
    <row r="498" spans="1:7" x14ac:dyDescent="0.25">
      <c r="A498" t="s">
        <v>6</v>
      </c>
      <c r="B498" s="12">
        <f t="shared" si="33"/>
        <v>42303</v>
      </c>
      <c r="C498" s="15">
        <v>2</v>
      </c>
      <c r="D498" s="16" t="s">
        <v>320</v>
      </c>
      <c r="E498" s="16">
        <v>25.8</v>
      </c>
      <c r="F498" s="16">
        <v>7.64</v>
      </c>
      <c r="G498" s="16">
        <v>7.64</v>
      </c>
    </row>
    <row r="499" spans="1:7" x14ac:dyDescent="0.25">
      <c r="A499" t="s">
        <v>6</v>
      </c>
      <c r="B499" s="12">
        <f t="shared" si="33"/>
        <v>42303</v>
      </c>
      <c r="C499" s="15">
        <v>2</v>
      </c>
      <c r="D499" s="16" t="s">
        <v>321</v>
      </c>
      <c r="E499" s="16">
        <v>2.6</v>
      </c>
      <c r="F499" s="16">
        <v>3.7669999999999999</v>
      </c>
      <c r="G499" s="16">
        <v>3.7669999999999999</v>
      </c>
    </row>
    <row r="500" spans="1:7" x14ac:dyDescent="0.25">
      <c r="A500" t="s">
        <v>6</v>
      </c>
      <c r="B500" s="12">
        <f t="shared" si="33"/>
        <v>42303</v>
      </c>
      <c r="C500" s="15">
        <v>2</v>
      </c>
      <c r="D500" s="16" t="s">
        <v>322</v>
      </c>
      <c r="E500" s="16">
        <v>0</v>
      </c>
      <c r="F500" s="16">
        <v>0</v>
      </c>
      <c r="G500" s="16">
        <v>0</v>
      </c>
    </row>
    <row r="501" spans="1:7" x14ac:dyDescent="0.25">
      <c r="A501" t="s">
        <v>6</v>
      </c>
      <c r="B501" s="12">
        <f t="shared" si="33"/>
        <v>42303</v>
      </c>
      <c r="C501" s="15">
        <v>2</v>
      </c>
      <c r="D501" s="16" t="s">
        <v>323</v>
      </c>
      <c r="E501" s="16">
        <v>10.6</v>
      </c>
      <c r="F501" s="16">
        <v>5.6219999999999999</v>
      </c>
      <c r="G501" s="16">
        <v>5.6219999999999999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d02c0295ba213fc458ad99eb2614c0cd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4fef16325ff063751e110ac80345ec26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55362-DDD7-4853-906E-6A346700B34D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customXml/itemProps2.xml><?xml version="1.0" encoding="utf-8"?>
<ds:datastoreItem xmlns:ds="http://schemas.openxmlformats.org/officeDocument/2006/customXml" ds:itemID="{CFAEF661-A221-4DD2-87F8-244D100A43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A91886-5A0F-4F62-AA54-0AFE7C4DF3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SCI Scores</vt:lpstr>
      <vt:lpstr>Taxa</vt:lpstr>
      <vt:lpstr>Metrics</vt:lpstr>
    </vt:vector>
  </TitlesOfParts>
  <Company>Pinellas County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Manos, Alexander</dc:creator>
  <cp:lastModifiedBy>Manos, Alexander</cp:lastModifiedBy>
  <dcterms:created xsi:type="dcterms:W3CDTF">2025-04-17T12:40:40Z</dcterms:created>
  <dcterms:modified xsi:type="dcterms:W3CDTF">2025-05-12T13:57:00Z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